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activeX/activeX2.xml" ContentType="application/vnd.ms-office.activeX+xml"/>
  <Override PartName="/xl/activeX/activeX2.bin" ContentType="application/vnd.ms-office.activeX"/>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130"/>
  <workbookPr defaultThemeVersion="166925"/>
  <mc:AlternateContent xmlns:mc="http://schemas.openxmlformats.org/markup-compatibility/2006">
    <mc:Choice Requires="x15">
      <x15ac:absPath xmlns:x15ac="http://schemas.microsoft.com/office/spreadsheetml/2010/11/ac" url="D:\Documents\Career\"/>
    </mc:Choice>
  </mc:AlternateContent>
  <xr:revisionPtr revIDLastSave="0" documentId="13_ncr:1_{53EF21AC-276C-4833-B9B5-E6FB67EDCD82}" xr6:coauthVersionLast="47" xr6:coauthVersionMax="47" xr10:uidLastSave="{00000000-0000-0000-0000-000000000000}"/>
  <bookViews>
    <workbookView xWindow="-120" yWindow="-120" windowWidth="29040" windowHeight="15840" activeTab="1" xr2:uid="{A70EA376-3E6C-4188-8422-C32BD3C80C75}"/>
  </bookViews>
  <sheets>
    <sheet name="Sheet1" sheetId="1" r:id="rId1"/>
    <sheet name="Essentials of Team Collaboratio" sheetId="2" r:id="rId2"/>
  </sheets>
  <definedNames>
    <definedName name="_xlnm._FilterDatabase" localSheetId="1" hidden="1">'Essentials of Team Collaboratio'!$A$2:$G$59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2" i="2" l="1"/>
  <c r="G20" i="2"/>
  <c r="G21" i="2"/>
  <c r="G28" i="2"/>
  <c r="G29" i="2"/>
  <c r="G37" i="2"/>
  <c r="G44" i="2"/>
  <c r="G45" i="2"/>
  <c r="G52" i="2"/>
  <c r="G59" i="2"/>
  <c r="E12" i="2"/>
  <c r="E20" i="2"/>
  <c r="E21" i="2"/>
  <c r="E28" i="2"/>
  <c r="E29" i="2"/>
  <c r="E37" i="2"/>
  <c r="E44" i="2"/>
  <c r="E45" i="2"/>
  <c r="E52" i="2"/>
  <c r="E59" i="2"/>
  <c r="E4" i="2"/>
  <c r="D4" i="2"/>
  <c r="D3" i="2"/>
  <c r="B6" i="2"/>
  <c r="F6" i="2" s="1"/>
  <c r="B7" i="2"/>
  <c r="F7" i="2" s="1"/>
  <c r="B8" i="2"/>
  <c r="G8" i="2" s="1"/>
  <c r="B9" i="2"/>
  <c r="F9" i="2" s="1"/>
  <c r="B10" i="2"/>
  <c r="F10" i="2" s="1"/>
  <c r="B11" i="2"/>
  <c r="F11" i="2" s="1"/>
  <c r="B12" i="2"/>
  <c r="F12" i="2" s="1"/>
  <c r="B13" i="2"/>
  <c r="F13" i="2" s="1"/>
  <c r="B14" i="2"/>
  <c r="F14" i="2" s="1"/>
  <c r="B15" i="2"/>
  <c r="F15" i="2" s="1"/>
  <c r="B16" i="2"/>
  <c r="F16" i="2" s="1"/>
  <c r="B17" i="2"/>
  <c r="G17" i="2" s="1"/>
  <c r="B18" i="2"/>
  <c r="F18" i="2" s="1"/>
  <c r="B19" i="2"/>
  <c r="F19" i="2" s="1"/>
  <c r="B20" i="2"/>
  <c r="B21" i="2"/>
  <c r="F21" i="2" s="1"/>
  <c r="B22" i="2"/>
  <c r="F22" i="2" s="1"/>
  <c r="B23" i="2"/>
  <c r="G23" i="2" s="1"/>
  <c r="B24" i="2"/>
  <c r="G24" i="2" s="1"/>
  <c r="B25" i="2"/>
  <c r="G25" i="2" s="1"/>
  <c r="B26" i="2"/>
  <c r="G26" i="2" s="1"/>
  <c r="B27" i="2"/>
  <c r="F27" i="2" s="1"/>
  <c r="B28" i="2"/>
  <c r="F28" i="2" s="1"/>
  <c r="B29" i="2"/>
  <c r="F29" i="2" s="1"/>
  <c r="B30" i="2"/>
  <c r="F30" i="2" s="1"/>
  <c r="B31" i="2"/>
  <c r="F31" i="2" s="1"/>
  <c r="B32" i="2"/>
  <c r="G32" i="2" s="1"/>
  <c r="B33" i="2"/>
  <c r="B34" i="2"/>
  <c r="F34" i="2" s="1"/>
  <c r="B35" i="2"/>
  <c r="F35" i="2" s="1"/>
  <c r="B36" i="2"/>
  <c r="F36" i="2" s="1"/>
  <c r="B37" i="2"/>
  <c r="F37" i="2" s="1"/>
  <c r="B38" i="2"/>
  <c r="F38" i="2" s="1"/>
  <c r="B39" i="2"/>
  <c r="F39" i="2" s="1"/>
  <c r="B40" i="2"/>
  <c r="F40" i="2" s="1"/>
  <c r="B41" i="2"/>
  <c r="G41" i="2" s="1"/>
  <c r="B42" i="2"/>
  <c r="F42" i="2" s="1"/>
  <c r="B43" i="2"/>
  <c r="F43" i="2" s="1"/>
  <c r="B44" i="2"/>
  <c r="F44" i="2" s="1"/>
  <c r="B45" i="2"/>
  <c r="F45" i="2" s="1"/>
  <c r="B46" i="2"/>
  <c r="F46" i="2" s="1"/>
  <c r="B47" i="2"/>
  <c r="F47" i="2" s="1"/>
  <c r="B48" i="2"/>
  <c r="G48" i="2" s="1"/>
  <c r="B49" i="2"/>
  <c r="F49" i="2" s="1"/>
  <c r="B50" i="2"/>
  <c r="F50" i="2" s="1"/>
  <c r="B51" i="2"/>
  <c r="F51" i="2" s="1"/>
  <c r="B52" i="2"/>
  <c r="B53" i="2"/>
  <c r="F53" i="2" s="1"/>
  <c r="B54" i="2"/>
  <c r="F54" i="2" s="1"/>
  <c r="B55" i="2"/>
  <c r="F55" i="2" s="1"/>
  <c r="B56" i="2"/>
  <c r="G56" i="2" s="1"/>
  <c r="B57" i="2"/>
  <c r="G57" i="2" s="1"/>
  <c r="B58" i="2"/>
  <c r="F58" i="2" s="1"/>
  <c r="B59" i="2"/>
  <c r="B5" i="2"/>
  <c r="F5" i="2" s="1"/>
  <c r="C11" i="2"/>
  <c r="C12" i="2" s="1"/>
  <c r="C13" i="2" s="1"/>
  <c r="C14" i="2" s="1"/>
  <c r="C15" i="2" s="1"/>
  <c r="C16" i="2" s="1"/>
  <c r="C17" i="2" s="1"/>
  <c r="C18" i="2" s="1"/>
  <c r="C19" i="2" s="1"/>
  <c r="C20" i="2" s="1"/>
  <c r="C21" i="2" s="1"/>
  <c r="C22" i="2" s="1"/>
  <c r="C23" i="2" s="1"/>
  <c r="C24" i="2" s="1"/>
  <c r="C25" i="2" s="1"/>
  <c r="C26" i="2" s="1"/>
  <c r="C27" i="2" s="1"/>
  <c r="C28" i="2"/>
  <c r="C29" i="2" s="1"/>
  <c r="C30" i="2" s="1"/>
  <c r="C31" i="2" s="1"/>
  <c r="C32" i="2" s="1"/>
  <c r="C33" i="2" s="1"/>
  <c r="C34" i="2" s="1"/>
  <c r="C35" i="2" s="1"/>
  <c r="C36" i="2" s="1"/>
  <c r="C37" i="2" s="1"/>
  <c r="C38" i="2" s="1"/>
  <c r="C39" i="2" s="1"/>
  <c r="C40" i="2" s="1"/>
  <c r="C41" i="2" s="1"/>
  <c r="C42" i="2" s="1"/>
  <c r="C43" i="2" s="1"/>
  <c r="C44" i="2" s="1"/>
  <c r="C45" i="2" s="1"/>
  <c r="C46" i="2" s="1"/>
  <c r="C47" i="2" s="1"/>
  <c r="C48" i="2" s="1"/>
  <c r="C49" i="2" s="1"/>
  <c r="C50" i="2" s="1"/>
  <c r="C51" i="2" s="1"/>
  <c r="C52" i="2" s="1"/>
  <c r="C53" i="2" s="1"/>
  <c r="C54" i="2" s="1"/>
  <c r="C55" i="2" s="1"/>
  <c r="C56" i="2" s="1"/>
  <c r="C57" i="2" s="1"/>
  <c r="C58" i="2" s="1"/>
  <c r="C59" i="2" s="1"/>
  <c r="C4" i="2"/>
  <c r="C5" i="2" s="1"/>
  <c r="C6" i="2" s="1"/>
  <c r="C7" i="2" s="1"/>
  <c r="C8" i="2" s="1"/>
  <c r="C9" i="2" s="1"/>
  <c r="C10" i="2" s="1"/>
  <c r="F4" i="2"/>
  <c r="F17" i="2"/>
  <c r="F25" i="2"/>
  <c r="F32" i="2"/>
  <c r="F33" i="2"/>
  <c r="F41" i="2"/>
  <c r="B3" i="2"/>
  <c r="E51" i="2" l="1"/>
  <c r="E43" i="2"/>
  <c r="E35" i="2"/>
  <c r="E11" i="2"/>
  <c r="G51" i="2"/>
  <c r="G43" i="2"/>
  <c r="G35" i="2"/>
  <c r="G27" i="2"/>
  <c r="G11" i="2"/>
  <c r="F24" i="2"/>
  <c r="E27" i="2"/>
  <c r="E58" i="2"/>
  <c r="E34" i="2"/>
  <c r="E26" i="2"/>
  <c r="E18" i="2"/>
  <c r="E10" i="2"/>
  <c r="G58" i="2"/>
  <c r="G34" i="2"/>
  <c r="G18" i="2"/>
  <c r="G10" i="2"/>
  <c r="F23" i="2"/>
  <c r="F56" i="2"/>
  <c r="F8" i="2"/>
  <c r="F48" i="2"/>
  <c r="E57" i="2"/>
  <c r="E49" i="2"/>
  <c r="E41" i="2"/>
  <c r="E25" i="2"/>
  <c r="E17" i="2"/>
  <c r="E9" i="2"/>
  <c r="G49" i="2"/>
  <c r="G9" i="2"/>
  <c r="D28" i="2"/>
  <c r="D29" i="2" s="1"/>
  <c r="D30" i="2" s="1"/>
  <c r="E56" i="2"/>
  <c r="E48" i="2"/>
  <c r="E40" i="2"/>
  <c r="E32" i="2"/>
  <c r="E24" i="2"/>
  <c r="E8" i="2"/>
  <c r="G40" i="2"/>
  <c r="D11" i="2"/>
  <c r="D12" i="2" s="1"/>
  <c r="D13" i="2" s="1"/>
  <c r="E55" i="2"/>
  <c r="E47" i="2"/>
  <c r="E31" i="2"/>
  <c r="E23" i="2"/>
  <c r="E15" i="2"/>
  <c r="G55" i="2"/>
  <c r="G47" i="2"/>
  <c r="G31" i="2"/>
  <c r="G15" i="2"/>
  <c r="D5" i="2"/>
  <c r="E54" i="2"/>
  <c r="E46" i="2"/>
  <c r="E38" i="2"/>
  <c r="E14" i="2"/>
  <c r="E6" i="2"/>
  <c r="G54" i="2"/>
  <c r="G46" i="2"/>
  <c r="G38" i="2"/>
  <c r="G14" i="2"/>
  <c r="G6" i="2"/>
  <c r="F52" i="2"/>
  <c r="F59" i="2"/>
  <c r="F26" i="2"/>
  <c r="F57" i="2"/>
  <c r="F20" i="2"/>
  <c r="D31" i="2" l="1"/>
  <c r="D32" i="2" s="1"/>
  <c r="D33" i="2" s="1"/>
  <c r="E30" i="2"/>
  <c r="G30" i="2" s="1"/>
  <c r="D6" i="2"/>
  <c r="D7" i="2" s="1"/>
  <c r="E5" i="2"/>
  <c r="G5" i="2" s="1"/>
  <c r="D14" i="2"/>
  <c r="D15" i="2" s="1"/>
  <c r="D16" i="2" s="1"/>
  <c r="E13" i="2"/>
  <c r="G13" i="2" s="1"/>
  <c r="D17" i="2" l="1"/>
  <c r="D18" i="2" s="1"/>
  <c r="D19" i="2" s="1"/>
  <c r="E16" i="2"/>
  <c r="G16" i="2" s="1"/>
  <c r="D8" i="2"/>
  <c r="D9" i="2" s="1"/>
  <c r="D10" i="2" s="1"/>
  <c r="E7" i="2"/>
  <c r="G7" i="2" s="1"/>
  <c r="D34" i="2"/>
  <c r="D35" i="2" s="1"/>
  <c r="D36" i="2" s="1"/>
  <c r="E33" i="2"/>
  <c r="G33" i="2" s="1"/>
  <c r="D20" i="2" l="1"/>
  <c r="D21" i="2" s="1"/>
  <c r="D22" i="2" s="1"/>
  <c r="E19" i="2"/>
  <c r="G19" i="2" s="1"/>
  <c r="D37" i="2"/>
  <c r="D38" i="2" s="1"/>
  <c r="D39" i="2" s="1"/>
  <c r="E36" i="2"/>
  <c r="G36" i="2" s="1"/>
  <c r="D23" i="2" l="1"/>
  <c r="D24" i="2" s="1"/>
  <c r="D25" i="2" s="1"/>
  <c r="D26" i="2" s="1"/>
  <c r="D27" i="2" s="1"/>
  <c r="E22" i="2"/>
  <c r="G22" i="2" s="1"/>
  <c r="D40" i="2"/>
  <c r="D41" i="2" s="1"/>
  <c r="D42" i="2" s="1"/>
  <c r="E39" i="2"/>
  <c r="G39" i="2" s="1"/>
  <c r="D43" i="2" l="1"/>
  <c r="D44" i="2" s="1"/>
  <c r="D45" i="2" s="1"/>
  <c r="D46" i="2" s="1"/>
  <c r="D47" i="2" s="1"/>
  <c r="D48" i="2" s="1"/>
  <c r="D49" i="2" s="1"/>
  <c r="D50" i="2" s="1"/>
  <c r="E42" i="2"/>
  <c r="G42" i="2" s="1"/>
  <c r="D51" i="2" l="1"/>
  <c r="D52" i="2" s="1"/>
  <c r="D53" i="2" s="1"/>
  <c r="E50" i="2"/>
  <c r="G50" i="2" s="1"/>
  <c r="D54" i="2" l="1"/>
  <c r="D55" i="2" s="1"/>
  <c r="D56" i="2" s="1"/>
  <c r="D57" i="2" s="1"/>
  <c r="D58" i="2" s="1"/>
  <c r="D59" i="2" s="1"/>
  <c r="E53" i="2"/>
  <c r="G53" i="2" s="1"/>
</calcChain>
</file>

<file path=xl/sharedStrings.xml><?xml version="1.0" encoding="utf-8"?>
<sst xmlns="http://schemas.openxmlformats.org/spreadsheetml/2006/main" count="338" uniqueCount="208">
  <si>
    <t>Congratulations on being a manager(Viewed)</t>
  </si>
  <si>
    <t>1m 52s</t>
  </si>
  <si>
    <t>The rewards of leadership</t>
  </si>
  <si>
    <t>3m 50s</t>
  </si>
  <si>
    <t>Chapter Quiz</t>
  </si>
  <si>
    <t>1 question</t>
  </si>
  <si>
    <t>1. Understanding Your Responsibilities</t>
  </si>
  <si>
    <t>Management vs. leadership</t>
  </si>
  <si>
    <t>2m 7s</t>
  </si>
  <si>
    <t>Be an example</t>
  </si>
  <si>
    <t>3m 43s</t>
  </si>
  <si>
    <t>Expectations and check-ins</t>
  </si>
  <si>
    <t>2m 52s</t>
  </si>
  <si>
    <t>Make it safe</t>
  </si>
  <si>
    <t>3m 16s</t>
  </si>
  <si>
    <t>Create career paths</t>
  </si>
  <si>
    <t>3m 3s</t>
  </si>
  <si>
    <t>5 questions</t>
  </si>
  <si>
    <t>2. Improving Communication</t>
  </si>
  <si>
    <t>Interruption-free listening</t>
  </si>
  <si>
    <t>3m 24s</t>
  </si>
  <si>
    <t>Content, emotion, and intent</t>
  </si>
  <si>
    <t>3m 36s</t>
  </si>
  <si>
    <t>Leverage two-way communication</t>
  </si>
  <si>
    <t>3m 5s</t>
  </si>
  <si>
    <t>3 questions</t>
  </si>
  <si>
    <t>3. Management: The Numbers Stuff</t>
  </si>
  <si>
    <t>Define success</t>
  </si>
  <si>
    <t>3m 22s</t>
  </si>
  <si>
    <t>Remove roadblocks</t>
  </si>
  <si>
    <t>2m 57s</t>
  </si>
  <si>
    <t>Know your KPIs</t>
  </si>
  <si>
    <t>3m 30s</t>
  </si>
  <si>
    <t>4. The People Stuff: Leadership</t>
  </si>
  <si>
    <t>Connect with authenticity</t>
  </si>
  <si>
    <t>2m 54s</t>
  </si>
  <si>
    <t>Create team and culture</t>
  </si>
  <si>
    <t>3m 57s</t>
  </si>
  <si>
    <t>Explain the why</t>
  </si>
  <si>
    <t>2m 28s</t>
  </si>
  <si>
    <t>Authenticity, transparency, and vulnerability</t>
  </si>
  <si>
    <t>3m 6s</t>
  </si>
  <si>
    <t>4 questions</t>
  </si>
  <si>
    <t>5. Mistakes to Avoid</t>
  </si>
  <si>
    <t>Wrong people in the wrong seat</t>
  </si>
  <si>
    <t>Blame instead of ownership</t>
  </si>
  <si>
    <t>3m 14s</t>
  </si>
  <si>
    <t>Put yourself in their shoes</t>
  </si>
  <si>
    <t>1m 49s</t>
  </si>
  <si>
    <t>0. Introduction</t>
  </si>
  <si>
    <t/>
  </si>
  <si>
    <t>1. Congratulations on being a manager(Viewed)</t>
  </si>
  <si>
    <t>2. The rewards of leadership</t>
  </si>
  <si>
    <t>1. Management vs. leadership</t>
  </si>
  <si>
    <t>2. Be an example</t>
  </si>
  <si>
    <t>3. Expectations and check-ins</t>
  </si>
  <si>
    <t>4. Make it safe</t>
  </si>
  <si>
    <t>5. Create career paths</t>
  </si>
  <si>
    <t>1. Interruption-free listening</t>
  </si>
  <si>
    <t>2. Content, emotion, and intent</t>
  </si>
  <si>
    <t>3. Leverage two-way communication</t>
  </si>
  <si>
    <t>1. Define success</t>
  </si>
  <si>
    <t>2. Remove roadblocks</t>
  </si>
  <si>
    <t>3. Know your KPIs</t>
  </si>
  <si>
    <t>1. Connect with authenticity</t>
  </si>
  <si>
    <t>3. Create team and culture</t>
  </si>
  <si>
    <t>4. Explain the why</t>
  </si>
  <si>
    <t>5. Authenticity, transparency, and vulnerability</t>
  </si>
  <si>
    <t>1. Wrong people in the wrong seat</t>
  </si>
  <si>
    <t>2. Blame instead of ownership</t>
  </si>
  <si>
    <t>3. Put yourself in their shoes</t>
  </si>
  <si>
    <t>0. Introduction (1. Congratulations on being a manager(Viewed))</t>
  </si>
  <si>
    <t>0. Introduction (2. The rewards of leadership)</t>
  </si>
  <si>
    <t>1. Understanding Your Responsibilities (1. Management vs. leadership)</t>
  </si>
  <si>
    <t>1. Understanding Your Responsibilities (2. Be an example)</t>
  </si>
  <si>
    <t>1. Understanding Your Responsibilities (3. Expectations and check-ins)</t>
  </si>
  <si>
    <t>1. Understanding Your Responsibilities (4. Make it safe)</t>
  </si>
  <si>
    <t>1. Understanding Your Responsibilities (5. Create career paths)</t>
  </si>
  <si>
    <t>2. Improving Communication (1. Interruption-free listening)</t>
  </si>
  <si>
    <t>2. Improving Communication (2. Content, emotion, and intent)</t>
  </si>
  <si>
    <t>2. Improving Communication (3. Leverage two-way communication)</t>
  </si>
  <si>
    <t>3. Management: The Numbers Stuff (1. Define success)</t>
  </si>
  <si>
    <t>3. Management: The Numbers Stuff (2. Remove roadblocks)</t>
  </si>
  <si>
    <t>3. Management: The Numbers Stuff (3. Know your KPIs)</t>
  </si>
  <si>
    <t>4. The People Stuff: Leadership (1. Connect with authenticity)</t>
  </si>
  <si>
    <t>5. Mistakes to Avoid (1. Wrong people in the wrong seat)</t>
  </si>
  <si>
    <t>5. Mistakes to Avoid (2. Blame instead of ownership)</t>
  </si>
  <si>
    <t>5. Mistakes to Avoid (3. Put yourself in their shoes)</t>
  </si>
  <si>
    <t>0. Introduction (Chapter Quiz - 1 question)</t>
  </si>
  <si>
    <t>1. Understanding Your Responsibilities (Chapter Quiz - 5 questions)</t>
  </si>
  <si>
    <t>2. Improving Communication (Chapter Quiz - 3 questions)</t>
  </si>
  <si>
    <t>3. Management: The Numbers Stuff (Chapter Quiz - 3 questions)</t>
  </si>
  <si>
    <t>4. The People Stuff: Leadership (Chapter Quiz - 4 questions)</t>
  </si>
  <si>
    <t>5. Mistakes to Avoid (Chapter Quiz - 3 questions)</t>
  </si>
  <si>
    <t>1</t>
  </si>
  <si>
    <t>3</t>
  </si>
  <si>
    <t>2</t>
  </si>
  <si>
    <t>4. The People Stuff: Leadership (2. Create team and culture)</t>
  </si>
  <si>
    <t>4. The People Stuff: Leadership (3. Explain the why)</t>
  </si>
  <si>
    <t>4. The People Stuff: Leadership (4. Authenticity, transparency, and vulnerability)</t>
  </si>
  <si>
    <t>Welcome to Essentials of Team Collaboration</t>
  </si>
  <si>
    <t>1m 38s</t>
  </si>
  <si>
    <t>Save</t>
  </si>
  <si>
    <t>Why team collaboration is necessary</t>
  </si>
  <si>
    <t>3m 27s</t>
  </si>
  <si>
    <t>1. Setting the Stage for Strong Team Collaboration</t>
  </si>
  <si>
    <t>Six key questions for effective collaboration</t>
  </si>
  <si>
    <t>2m 51s</t>
  </si>
  <si>
    <t>Identify the right team composition</t>
  </si>
  <si>
    <t>2m 22s</t>
  </si>
  <si>
    <t>Clarify the team's goal and purpose</t>
  </si>
  <si>
    <t>2m 37s</t>
  </si>
  <si>
    <t>Clarify constraints, expectations, and processes up front</t>
  </si>
  <si>
    <t>2m 24s</t>
  </si>
  <si>
    <t>2. Five Tactics to Encourage Healthy Team Collaboration</t>
  </si>
  <si>
    <t>Develop team ground rules</t>
  </si>
  <si>
    <t>2m 16s</t>
  </si>
  <si>
    <t>Build relationships early and often(Viewed)</t>
  </si>
  <si>
    <t>3m 7s</t>
  </si>
  <si>
    <t>Identify team members' preferred communication mode</t>
  </si>
  <si>
    <t>2m 39s</t>
  </si>
  <si>
    <t>Tips for great online collaboration</t>
  </si>
  <si>
    <t>2m 56s</t>
  </si>
  <si>
    <t>Take periodic temperature checks</t>
  </si>
  <si>
    <t>2m 23s</t>
  </si>
  <si>
    <t>6 questions</t>
  </si>
  <si>
    <t>Conclusion</t>
  </si>
  <si>
    <t>Develop best practices to enhance team collaboration</t>
  </si>
  <si>
    <t>Team collaboration challenge</t>
  </si>
  <si>
    <t>1m 31s</t>
  </si>
  <si>
    <t>2 questions</t>
  </si>
  <si>
    <t>Take exam</t>
  </si>
  <si>
    <t>Essentials of Team Collaboration</t>
  </si>
  <si>
    <t>Why should you analyze team composition early in the process?</t>
  </si>
  <si>
    <t>to identify potential resource needs and issues so they can be promptly mitigated or addressed
Early consideration of resources needs and issues provides an opportunity to proactively address potential problems down the road.</t>
  </si>
  <si>
    <t>You want to determine whether or not your team has a shared vision for completing a project. What makes clarifying the "why" important, in terms of why the project is being done?</t>
  </si>
  <si>
    <t>Ellie is leading a new project team. What is a critical question the team should address during their work on constraints, expectations, and processes?</t>
  </si>
  <si>
    <t>"How will we work together?"
Ellie should make sure the team agrees on the "how," which will confirm whether they have developed efficient and effective processes.</t>
  </si>
  <si>
    <t>What is the overarching purpose of the 6 key questions for effective collaboration?</t>
  </si>
  <si>
    <t>to clarify and define team parameters and expectations
Asking these six questions (particularly at the beginning of a team experience) provides an opportunity to discuss, clarify, and define.</t>
  </si>
  <si>
    <t>to help motivate and inspire the team to work on the project
Clarifying the "why," or the mission, makes people care about the project's goals and tasks while helping to motivate them as well.</t>
  </si>
  <si>
    <t>You are meeting with your team to set ground rules on a new collaborative project. How can you best start in determining which ground rules to have?</t>
  </si>
  <si>
    <t>Ask each team member to present a ground rule from a previous project that worked effectively.
Since the ground rules reflect the various personalities in the group, the team members will more easily accept and support them.</t>
  </si>
  <si>
    <t>You're preparing for a meeting with your new team. What might be an easy and effective way to encourage relationship building?</t>
  </si>
  <si>
    <t>Ask team members to work in pairs of two or three on key tasks, instead of assigning tasks to individual owners.
Activities that encourage team members to connect with each other provides opportunities for relationship building. This might include traditional icebreaker/getting to know you type activities, being paired together to work on social activities, etc.</t>
  </si>
  <si>
    <t>You acknowledge the importance of discussing individual communications preferences with your new team. What might be a key question to ask and discuss?</t>
  </si>
  <si>
    <t>Which is the most effective principle for teams to adopt when considering online collaboration?</t>
  </si>
  <si>
    <t>Identify user-friendly tools featuring functionality that increases the team's efficiency and effectiveness.
Online collaboration tools can be helpful, but it's important for the team to focus less on a specific application and more so on the functionality that will make the team more effective and efficient.</t>
  </si>
  <si>
    <t>Why is it important for a team to take a "temperature check" when working on a project?</t>
  </si>
  <si>
    <t>to identify what is working and what is not working
A "temperature check" helps the team identify potential changes or enhancements that can be made to help the project run more efficiently and effectively.</t>
  </si>
  <si>
    <t>What is the central purpose of conducting periodic debrief sessions?</t>
  </si>
  <si>
    <t>They determine what is working well and what could be improved from the team's perspective.
Debriefing is a powerful tool that highlights improvement opportunities and reinforces what is working well. Debrief output provides the team a roadmap for how the group may want to make adjustments to improve going forward.</t>
  </si>
  <si>
    <r>
      <t xml:space="preserve">What are some of your communication pet peeves?
Correct
This question elicits the type of information you're seeking about individual communication preferences. This line of inquiry provides tangible insight about how to best communicate with each team member.
</t>
    </r>
    <r>
      <rPr>
        <sz val="11"/>
        <color rgb="FFFF0000"/>
        <rFont val="Calibri"/>
        <family val="2"/>
        <scheme val="minor"/>
      </rPr>
      <t>Debriefing is a powerful tool that highlights improvement opportunities and reinforces what is working well. Debrief output provides the team a roadmap for how the group may want to make adjustments to improve going forward.</t>
    </r>
  </si>
  <si>
    <t>What is a best practice Marcus can use to foster collaboration on his team?</t>
  </si>
  <si>
    <t>Discuss communication preferences with the team.
Communication is essential to collaboration, so it is important for Marcus to understand his team members' preferences.</t>
  </si>
  <si>
    <t>What can Sylvie do to help determine where there might be potential cracks in her team's foundation?</t>
  </si>
  <si>
    <t>Review the who, what, why, where, when, and how questions.
Sylvie can use these six questions to review, clarify, and define team parameters and then determine where they need to make adjustments.</t>
  </si>
  <si>
    <t>If you want your team to be truly collaborative, which approach should you use?</t>
  </si>
  <si>
    <t>Select an answer:</t>
  </si>
  <si>
    <t>Determine a consistent communication mode for your team.</t>
  </si>
  <si>
    <t>Rotate the leader for team meetings.</t>
  </si>
  <si>
    <t>Continually check in with the team to identify what is working and what is not working.</t>
  </si>
  <si>
    <t>Assume all your team members have the same work style.</t>
  </si>
  <si>
    <t>What is the core purpose of team ground rules?</t>
  </si>
  <si>
    <t>Leaders can define expectations for team members to effectively follow.</t>
  </si>
  <si>
    <t>The team can establish mutual expectations around how they want to work together.</t>
  </si>
  <si>
    <t>Each person can define preferences for how they want to work.</t>
  </si>
  <si>
    <t>Management can clarify what stellar performance looks like</t>
  </si>
  <si>
    <t>You realize the importance of relationship building for your newly organized team. What is the most important thing to consider as you encourage new relationships and connections?</t>
  </si>
  <si>
    <t>The cost of a one-day retreat is worth it for the relationships it will build.</t>
  </si>
  <si>
    <t>Building relationships is incremental and takes time.</t>
  </si>
  <si>
    <t>Relationships within the team are more important than relationships across teams.</t>
  </si>
  <si>
    <t>Team members should be left to build their relationships organically.</t>
  </si>
  <si>
    <t>The primary benefit of a debrief is to _____.</t>
  </si>
  <si>
    <t>figure out what is working well and what should potentially be changed moving forward as it relates to the team dynamics or overall project progress.</t>
  </si>
  <si>
    <t>pause the team's work</t>
  </si>
  <si>
    <t>energize the team for the next project</t>
  </si>
  <si>
    <t>highlight the accomplishments of the team</t>
  </si>
  <si>
    <t>What is a major difficulty in finding a single online tool for virtual collaboration?</t>
  </si>
  <si>
    <t>There is a limited number of tools available to choose from.</t>
  </si>
  <si>
    <t>Collaboration tools are too expensive.</t>
  </si>
  <si>
    <t>There are team members who do not have access to online collaboration tools.</t>
  </si>
  <si>
    <t>There are so many tools available to choose from.</t>
  </si>
  <si>
    <t>What is a key risk of if you don't clearly define a team's purpose and goals?</t>
  </si>
  <si>
    <t>a less efficient and effective team</t>
  </si>
  <si>
    <t>poor deliverable quality</t>
  </si>
  <si>
    <t>overspending the team budget</t>
  </si>
  <si>
    <t>low team morale</t>
  </si>
  <si>
    <t>What should be discussed and agreed upon during early discussion of constraints, expectations, and processes?</t>
  </si>
  <si>
    <t>duration and frequency of team meetings</t>
  </si>
  <si>
    <t>supplier selection criteria</t>
  </si>
  <si>
    <t>terms and conditions for paid leave policy</t>
  </si>
  <si>
    <t>pay rates for contractors</t>
  </si>
  <si>
    <t>Exam questions</t>
  </si>
  <si>
    <t>Filter results by</t>
  </si>
  <si>
    <t>Show all</t>
  </si>
  <si>
    <t>Show wrong only</t>
  </si>
  <si>
    <t>Question 1 of 7</t>
  </si>
  <si>
    <t>Attempted incorrect option</t>
  </si>
  <si>
    <t>Correct answer</t>
  </si>
  <si>
    <t>Question 2 of 7</t>
  </si>
  <si>
    <t>Question 3 of 7</t>
  </si>
  <si>
    <t>Attempted correct option</t>
  </si>
  <si>
    <t>Question 4 of 7</t>
  </si>
  <si>
    <r>
      <t xml:space="preserve">The primary benefit of a debrief is to </t>
    </r>
    <r>
      <rPr>
        <sz val="9.6"/>
        <color theme="1"/>
        <rFont val="Consolas"/>
        <family val="3"/>
      </rPr>
      <t>_____</t>
    </r>
    <r>
      <rPr>
        <sz val="12"/>
        <color theme="1"/>
        <rFont val="Segoe UI"/>
        <family val="2"/>
      </rPr>
      <t>.</t>
    </r>
  </si>
  <si>
    <t>Question 5 of 7</t>
  </si>
  <si>
    <t>Question 6 of 7</t>
  </si>
  <si>
    <t>Question 7 of 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</si>
</sst>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theme="1"/>
      <name val="Calibri"/>
      <family val="2"/>
      <scheme val="minor"/>
    </font>
    <font>
      <sz val="11"/>
      <color rgb="FFFF0000"/>
      <name val="Calibri"/>
      <family val="2"/>
      <scheme val="minor"/>
    </font>
    <font>
      <sz val="12"/>
      <color theme="1"/>
      <name val="Segoe UI"/>
      <family val="2"/>
    </font>
    <font>
      <sz val="12"/>
      <color rgb="FF2F7B15"/>
      <name val="Segoe UI"/>
      <family val="2"/>
    </font>
    <font>
      <sz val="11"/>
      <color rgb="FF00B050"/>
      <name val="Calibri"/>
      <family val="2"/>
      <scheme val="minor"/>
    </font>
    <font>
      <sz val="12"/>
      <color rgb="FFD11124"/>
      <name val="Segoe UI"/>
      <family val="2"/>
    </font>
    <font>
      <sz val="9.6"/>
      <color theme="1"/>
      <name val="Consolas"/>
      <family val="3"/>
    </font>
  </fonts>
  <fills count="2">
    <fill>
      <patternFill patternType="none"/>
    </fill>
    <fill>
      <patternFill patternType="gray125"/>
    </fill>
  </fills>
  <borders count="4">
    <border>
      <left/>
      <right/>
      <top/>
      <bottom/>
      <diagonal/>
    </border>
    <border>
      <left/>
      <right/>
      <top/>
      <bottom style="medium">
        <color rgb="FFCDCFD2"/>
      </bottom>
      <diagonal/>
    </border>
    <border>
      <left style="medium">
        <color rgb="FFD11124"/>
      </left>
      <right style="medium">
        <color rgb="FFD11124"/>
      </right>
      <top style="medium">
        <color rgb="FFD11124"/>
      </top>
      <bottom style="medium">
        <color rgb="FFD11124"/>
      </bottom>
      <diagonal/>
    </border>
    <border>
      <left style="medium">
        <color rgb="FF2F7B15"/>
      </left>
      <right style="medium">
        <color rgb="FF2F7B15"/>
      </right>
      <top style="medium">
        <color rgb="FF2F7B15"/>
      </top>
      <bottom style="medium">
        <color rgb="FF2F7B15"/>
      </bottom>
      <diagonal/>
    </border>
  </borders>
  <cellStyleXfs count="1">
    <xf numFmtId="0" fontId="0" fillId="0" borderId="0"/>
  </cellStyleXfs>
  <cellXfs count="17">
    <xf numFmtId="0" fontId="0" fillId="0" borderId="0" xfId="0"/>
    <xf numFmtId="0" fontId="1" fillId="0" borderId="0" xfId="0" applyFont="1"/>
    <xf numFmtId="0" fontId="0" fillId="0" borderId="0" xfId="0" applyAlignment="1">
      <alignment wrapText="1"/>
    </xf>
    <xf numFmtId="0" fontId="0" fillId="0" borderId="0" xfId="0" applyAlignment="1">
      <alignment vertical="top" wrapText="1"/>
    </xf>
    <xf numFmtId="0" fontId="0" fillId="0" borderId="0" xfId="0" applyAlignment="1">
      <alignment horizontal="left" vertical="top" wrapText="1"/>
    </xf>
    <xf numFmtId="0" fontId="0" fillId="0" borderId="0" xfId="0" applyAlignment="1">
      <alignment vertical="top"/>
    </xf>
    <xf numFmtId="0" fontId="5"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vertical="center" wrapText="1"/>
    </xf>
    <xf numFmtId="0" fontId="0" fillId="0" borderId="0" xfId="0" applyAlignment="1">
      <alignment horizontal="left" vertical="center" wrapText="1" indent="1"/>
    </xf>
    <xf numFmtId="0" fontId="3" fillId="0" borderId="0" xfId="0" applyFont="1" applyAlignment="1">
      <alignment horizontal="left" vertical="center" wrapText="1" indent="1"/>
    </xf>
    <xf numFmtId="0" fontId="3" fillId="0" borderId="0" xfId="0" applyFont="1" applyAlignment="1">
      <alignment vertical="center"/>
    </xf>
    <xf numFmtId="0" fontId="3" fillId="0" borderId="1" xfId="0" applyFont="1" applyBorder="1" applyAlignment="1">
      <alignment vertical="center" wrapText="1"/>
    </xf>
    <xf numFmtId="0" fontId="6" fillId="0" borderId="0" xfId="0" applyFont="1" applyAlignment="1">
      <alignment vertical="center" wrapText="1"/>
    </xf>
    <xf numFmtId="0" fontId="0" fillId="0" borderId="2" xfId="0" applyBorder="1" applyAlignment="1">
      <alignment vertical="center" wrapText="1"/>
    </xf>
    <xf numFmtId="0" fontId="0" fillId="0" borderId="3" xfId="0" applyBorder="1" applyAlignment="1">
      <alignment vertical="center" wrapText="1"/>
    </xf>
    <xf numFmtId="0" fontId="4" fillId="0" borderId="0" xfId="0" applyFont="1"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_rels/activeX2.xml.rels><?xml version="1.0" encoding="UTF-8" standalone="yes"?>
<Relationships xmlns="http://schemas.openxmlformats.org/package/2006/relationships"><Relationship Id="rId1" Type="http://schemas.microsoft.com/office/2006/relationships/activeXControlBinary" Target="activeX2.bin"/></Relationships>
</file>

<file path=xl/activeX/activeX1.xml><?xml version="1.0" encoding="utf-8"?>
<ax:ocx xmlns:ax="http://schemas.microsoft.com/office/2006/activeX" xmlns:r="http://schemas.openxmlformats.org/officeDocument/2006/relationships" ax:classid="{5512D118-5CC6-11CF-8D67-00AA00BDCE1D}" ax:persistence="persistStream" r:id="rId1"/>
</file>

<file path=xl/activeX/activeX2.xml><?xml version="1.0" encoding="utf-8"?>
<ax:ocx xmlns:ax="http://schemas.microsoft.com/office/2006/activeX" xmlns:r="http://schemas.openxmlformats.org/officeDocument/2006/relationships" ax:classid="{5512D118-5CC6-11CF-8D67-00AA00BDCE1D}" ax:persistence="persistStream" r:id="rId1"/>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0</xdr:colOff>
          <xdr:row>94</xdr:row>
          <xdr:rowOff>0</xdr:rowOff>
        </xdr:from>
        <xdr:to>
          <xdr:col>8</xdr:col>
          <xdr:colOff>257175</xdr:colOff>
          <xdr:row>95</xdr:row>
          <xdr:rowOff>76200</xdr:rowOff>
        </xdr:to>
        <xdr:sp macro="" textlink="">
          <xdr:nvSpPr>
            <xdr:cNvPr id="1032" name="Control 8" hidden="1">
              <a:extLst>
                <a:ext uri="{63B3BB69-23CF-44E3-9099-C40C66FF867C}">
                  <a14:compatExt spid="_x0000_s1032"/>
                </a:ext>
                <a:ext uri="{FF2B5EF4-FFF2-40B4-BE49-F238E27FC236}">
                  <a16:creationId xmlns:a16="http://schemas.microsoft.com/office/drawing/2014/main" id="{E11B16A5-2BB6-FFF9-1842-CB2513D4DDC3}"/>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0</xdr:colOff>
          <xdr:row>95</xdr:row>
          <xdr:rowOff>0</xdr:rowOff>
        </xdr:from>
        <xdr:to>
          <xdr:col>8</xdr:col>
          <xdr:colOff>257175</xdr:colOff>
          <xdr:row>96</xdr:row>
          <xdr:rowOff>76200</xdr:rowOff>
        </xdr:to>
        <xdr:sp macro="" textlink="">
          <xdr:nvSpPr>
            <xdr:cNvPr id="1033" name="Control 9" hidden="1">
              <a:extLst>
                <a:ext uri="{63B3BB69-23CF-44E3-9099-C40C66FF867C}">
                  <a14:compatExt spid="_x0000_s1033"/>
                </a:ext>
                <a:ext uri="{FF2B5EF4-FFF2-40B4-BE49-F238E27FC236}">
                  <a16:creationId xmlns:a16="http://schemas.microsoft.com/office/drawing/2014/main" id="{54076EA7-FF29-4B6A-4246-63EF704EE9E2}"/>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control" Target="../activeX/activeX2.xml"/><Relationship Id="rId5" Type="http://schemas.openxmlformats.org/officeDocument/2006/relationships/image" Target="../media/image1.emf"/><Relationship Id="rId4" Type="http://schemas.openxmlformats.org/officeDocument/2006/relationships/control" Target="../activeX/activeX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9DB7F-6E71-435A-B150-A8A24F72AA49}">
  <dimension ref="A1:J28"/>
  <sheetViews>
    <sheetView topLeftCell="F1" workbookViewId="0">
      <selection activeCell="H10" sqref="H10"/>
    </sheetView>
  </sheetViews>
  <sheetFormatPr defaultRowHeight="15" x14ac:dyDescent="0.25"/>
  <cols>
    <col min="3" max="3" width="42.140625" bestFit="1" customWidth="1"/>
    <col min="4" max="4" width="35.85546875" bestFit="1" customWidth="1"/>
    <col min="6" max="6" width="44.140625" bestFit="1" customWidth="1"/>
    <col min="8" max="8" width="73.85546875" bestFit="1" customWidth="1"/>
  </cols>
  <sheetData>
    <row r="1" spans="1:10" x14ac:dyDescent="0.25">
      <c r="A1">
        <v>3</v>
      </c>
      <c r="B1">
        <v>2</v>
      </c>
      <c r="C1" t="s">
        <v>0</v>
      </c>
      <c r="D1" t="s">
        <v>49</v>
      </c>
      <c r="E1">
        <v>1</v>
      </c>
      <c r="F1" t="s">
        <v>51</v>
      </c>
      <c r="G1" t="s">
        <v>1</v>
      </c>
      <c r="H1" t="s">
        <v>71</v>
      </c>
      <c r="I1" t="s">
        <v>94</v>
      </c>
      <c r="J1">
        <v>52</v>
      </c>
    </row>
    <row r="2" spans="1:10" x14ac:dyDescent="0.25">
      <c r="A2">
        <v>6</v>
      </c>
      <c r="B2">
        <v>2</v>
      </c>
      <c r="C2" t="s">
        <v>2</v>
      </c>
      <c r="D2" t="s">
        <v>49</v>
      </c>
      <c r="E2">
        <v>2</v>
      </c>
      <c r="F2" t="s">
        <v>52</v>
      </c>
      <c r="G2" t="s">
        <v>3</v>
      </c>
      <c r="H2" t="s">
        <v>72</v>
      </c>
      <c r="I2" t="s">
        <v>95</v>
      </c>
      <c r="J2">
        <v>50</v>
      </c>
    </row>
    <row r="3" spans="1:10" x14ac:dyDescent="0.25">
      <c r="A3">
        <v>9</v>
      </c>
      <c r="B3">
        <v>1</v>
      </c>
      <c r="C3" t="s">
        <v>4</v>
      </c>
      <c r="D3" t="s">
        <v>49</v>
      </c>
      <c r="E3">
        <v>2</v>
      </c>
      <c r="F3" t="s">
        <v>4</v>
      </c>
      <c r="G3" t="s">
        <v>5</v>
      </c>
      <c r="H3" t="s">
        <v>88</v>
      </c>
      <c r="I3" t="s">
        <v>50</v>
      </c>
      <c r="J3" t="s">
        <v>50</v>
      </c>
    </row>
    <row r="4" spans="1:10" x14ac:dyDescent="0.25">
      <c r="A4">
        <v>14</v>
      </c>
      <c r="B4">
        <v>2</v>
      </c>
      <c r="C4" t="s">
        <v>7</v>
      </c>
      <c r="D4" t="s">
        <v>6</v>
      </c>
      <c r="E4">
        <v>1</v>
      </c>
      <c r="F4" t="s">
        <v>53</v>
      </c>
      <c r="G4" t="s">
        <v>8</v>
      </c>
      <c r="H4" t="s">
        <v>73</v>
      </c>
      <c r="I4" t="s">
        <v>96</v>
      </c>
      <c r="J4">
        <v>7</v>
      </c>
    </row>
    <row r="5" spans="1:10" x14ac:dyDescent="0.25">
      <c r="A5">
        <v>17</v>
      </c>
      <c r="B5">
        <v>2</v>
      </c>
      <c r="C5" t="s">
        <v>9</v>
      </c>
      <c r="D5" t="s">
        <v>6</v>
      </c>
      <c r="E5">
        <v>2</v>
      </c>
      <c r="F5" t="s">
        <v>54</v>
      </c>
      <c r="G5" t="s">
        <v>10</v>
      </c>
      <c r="H5" t="s">
        <v>74</v>
      </c>
      <c r="I5" t="s">
        <v>95</v>
      </c>
      <c r="J5">
        <v>43</v>
      </c>
    </row>
    <row r="6" spans="1:10" x14ac:dyDescent="0.25">
      <c r="A6">
        <v>20</v>
      </c>
      <c r="B6">
        <v>2</v>
      </c>
      <c r="C6" t="s">
        <v>11</v>
      </c>
      <c r="D6" t="s">
        <v>6</v>
      </c>
      <c r="E6">
        <v>3</v>
      </c>
      <c r="F6" t="s">
        <v>55</v>
      </c>
      <c r="G6" t="s">
        <v>12</v>
      </c>
      <c r="H6" t="s">
        <v>75</v>
      </c>
      <c r="I6" t="s">
        <v>96</v>
      </c>
      <c r="J6">
        <v>52</v>
      </c>
    </row>
    <row r="7" spans="1:10" x14ac:dyDescent="0.25">
      <c r="A7">
        <v>23</v>
      </c>
      <c r="B7">
        <v>2</v>
      </c>
      <c r="C7" t="s">
        <v>13</v>
      </c>
      <c r="D7" t="s">
        <v>6</v>
      </c>
      <c r="E7">
        <v>4</v>
      </c>
      <c r="F7" t="s">
        <v>56</v>
      </c>
      <c r="G7" t="s">
        <v>14</v>
      </c>
      <c r="H7" t="s">
        <v>76</v>
      </c>
      <c r="I7" t="s">
        <v>95</v>
      </c>
      <c r="J7">
        <v>16</v>
      </c>
    </row>
    <row r="8" spans="1:10" x14ac:dyDescent="0.25">
      <c r="A8">
        <v>26</v>
      </c>
      <c r="B8">
        <v>2</v>
      </c>
      <c r="C8" t="s">
        <v>15</v>
      </c>
      <c r="D8" t="s">
        <v>6</v>
      </c>
      <c r="E8">
        <v>5</v>
      </c>
      <c r="F8" t="s">
        <v>57</v>
      </c>
      <c r="G8" t="s">
        <v>16</v>
      </c>
      <c r="H8" t="s">
        <v>77</v>
      </c>
      <c r="I8" t="s">
        <v>95</v>
      </c>
      <c r="J8">
        <v>3</v>
      </c>
    </row>
    <row r="9" spans="1:10" x14ac:dyDescent="0.25">
      <c r="A9">
        <v>29</v>
      </c>
      <c r="B9">
        <v>1</v>
      </c>
      <c r="C9" t="s">
        <v>4</v>
      </c>
      <c r="D9" t="s">
        <v>6</v>
      </c>
      <c r="E9">
        <v>5</v>
      </c>
      <c r="F9" t="s">
        <v>4</v>
      </c>
      <c r="G9" t="s">
        <v>17</v>
      </c>
      <c r="H9" t="s">
        <v>89</v>
      </c>
      <c r="I9" t="s">
        <v>50</v>
      </c>
      <c r="J9" t="s">
        <v>50</v>
      </c>
    </row>
    <row r="10" spans="1:10" x14ac:dyDescent="0.25">
      <c r="A10">
        <v>34</v>
      </c>
      <c r="B10">
        <v>2</v>
      </c>
      <c r="C10" t="s">
        <v>19</v>
      </c>
      <c r="D10" t="s">
        <v>18</v>
      </c>
      <c r="E10">
        <v>1</v>
      </c>
      <c r="F10" t="s">
        <v>58</v>
      </c>
      <c r="G10" t="s">
        <v>20</v>
      </c>
      <c r="H10" t="s">
        <v>78</v>
      </c>
      <c r="I10" t="s">
        <v>95</v>
      </c>
      <c r="J10">
        <v>24</v>
      </c>
    </row>
    <row r="11" spans="1:10" x14ac:dyDescent="0.25">
      <c r="A11">
        <v>37</v>
      </c>
      <c r="B11">
        <v>2</v>
      </c>
      <c r="C11" t="s">
        <v>21</v>
      </c>
      <c r="D11" t="s">
        <v>18</v>
      </c>
      <c r="E11">
        <v>2</v>
      </c>
      <c r="F11" t="s">
        <v>59</v>
      </c>
      <c r="G11" t="s">
        <v>22</v>
      </c>
      <c r="H11" t="s">
        <v>79</v>
      </c>
      <c r="I11" t="s">
        <v>95</v>
      </c>
      <c r="J11">
        <v>36</v>
      </c>
    </row>
    <row r="12" spans="1:10" x14ac:dyDescent="0.25">
      <c r="A12">
        <v>40</v>
      </c>
      <c r="B12">
        <v>2</v>
      </c>
      <c r="C12" t="s">
        <v>23</v>
      </c>
      <c r="D12" t="s">
        <v>18</v>
      </c>
      <c r="E12">
        <v>3</v>
      </c>
      <c r="F12" t="s">
        <v>60</v>
      </c>
      <c r="G12" t="s">
        <v>24</v>
      </c>
      <c r="H12" t="s">
        <v>80</v>
      </c>
      <c r="I12" t="s">
        <v>95</v>
      </c>
      <c r="J12">
        <v>5</v>
      </c>
    </row>
    <row r="13" spans="1:10" x14ac:dyDescent="0.25">
      <c r="A13">
        <v>43</v>
      </c>
      <c r="B13">
        <v>1</v>
      </c>
      <c r="C13" t="s">
        <v>4</v>
      </c>
      <c r="D13" t="s">
        <v>18</v>
      </c>
      <c r="E13">
        <v>3</v>
      </c>
      <c r="F13" t="s">
        <v>4</v>
      </c>
      <c r="G13" t="s">
        <v>25</v>
      </c>
      <c r="H13" t="s">
        <v>90</v>
      </c>
      <c r="I13" t="s">
        <v>50</v>
      </c>
      <c r="J13" t="s">
        <v>50</v>
      </c>
    </row>
    <row r="14" spans="1:10" x14ac:dyDescent="0.25">
      <c r="A14">
        <v>48</v>
      </c>
      <c r="B14">
        <v>2</v>
      </c>
      <c r="C14" t="s">
        <v>27</v>
      </c>
      <c r="D14" t="s">
        <v>26</v>
      </c>
      <c r="E14">
        <v>1</v>
      </c>
      <c r="F14" t="s">
        <v>61</v>
      </c>
      <c r="G14" t="s">
        <v>28</v>
      </c>
      <c r="H14" t="s">
        <v>81</v>
      </c>
      <c r="I14" t="s">
        <v>95</v>
      </c>
      <c r="J14">
        <v>22</v>
      </c>
    </row>
    <row r="15" spans="1:10" x14ac:dyDescent="0.25">
      <c r="A15">
        <v>51</v>
      </c>
      <c r="B15">
        <v>2</v>
      </c>
      <c r="C15" t="s">
        <v>29</v>
      </c>
      <c r="D15" t="s">
        <v>26</v>
      </c>
      <c r="E15">
        <v>2</v>
      </c>
      <c r="F15" t="s">
        <v>62</v>
      </c>
      <c r="G15" t="s">
        <v>30</v>
      </c>
      <c r="H15" t="s">
        <v>82</v>
      </c>
      <c r="I15" t="s">
        <v>96</v>
      </c>
      <c r="J15">
        <v>57</v>
      </c>
    </row>
    <row r="16" spans="1:10" x14ac:dyDescent="0.25">
      <c r="A16">
        <v>54</v>
      </c>
      <c r="B16">
        <v>2</v>
      </c>
      <c r="C16" t="s">
        <v>31</v>
      </c>
      <c r="D16" t="s">
        <v>26</v>
      </c>
      <c r="E16">
        <v>3</v>
      </c>
      <c r="F16" t="s">
        <v>63</v>
      </c>
      <c r="G16" t="s">
        <v>32</v>
      </c>
      <c r="H16" t="s">
        <v>83</v>
      </c>
      <c r="I16" t="s">
        <v>95</v>
      </c>
      <c r="J16">
        <v>30</v>
      </c>
    </row>
    <row r="17" spans="1:10" x14ac:dyDescent="0.25">
      <c r="A17">
        <v>57</v>
      </c>
      <c r="B17">
        <v>1</v>
      </c>
      <c r="C17" t="s">
        <v>4</v>
      </c>
      <c r="D17" t="s">
        <v>26</v>
      </c>
      <c r="E17">
        <v>3</v>
      </c>
      <c r="F17" t="s">
        <v>4</v>
      </c>
      <c r="G17" t="s">
        <v>25</v>
      </c>
      <c r="H17" t="s">
        <v>91</v>
      </c>
      <c r="I17" t="s">
        <v>50</v>
      </c>
      <c r="J17" t="s">
        <v>50</v>
      </c>
    </row>
    <row r="18" spans="1:10" x14ac:dyDescent="0.25">
      <c r="A18">
        <v>62</v>
      </c>
      <c r="B18">
        <v>2</v>
      </c>
      <c r="C18" t="s">
        <v>34</v>
      </c>
      <c r="D18" t="s">
        <v>33</v>
      </c>
      <c r="E18">
        <v>1</v>
      </c>
      <c r="F18" t="s">
        <v>64</v>
      </c>
      <c r="G18" t="s">
        <v>35</v>
      </c>
      <c r="H18" t="s">
        <v>84</v>
      </c>
      <c r="I18" t="s">
        <v>96</v>
      </c>
      <c r="J18">
        <v>54</v>
      </c>
    </row>
    <row r="19" spans="1:10" x14ac:dyDescent="0.25">
      <c r="A19">
        <v>65</v>
      </c>
      <c r="B19">
        <v>2</v>
      </c>
      <c r="C19" t="s">
        <v>36</v>
      </c>
      <c r="D19" t="s">
        <v>33</v>
      </c>
      <c r="E19">
        <v>3</v>
      </c>
      <c r="F19" t="s">
        <v>65</v>
      </c>
      <c r="G19" t="s">
        <v>37</v>
      </c>
      <c r="H19" t="s">
        <v>97</v>
      </c>
      <c r="I19" t="s">
        <v>95</v>
      </c>
      <c r="J19">
        <v>57</v>
      </c>
    </row>
    <row r="20" spans="1:10" x14ac:dyDescent="0.25">
      <c r="A20">
        <v>68</v>
      </c>
      <c r="B20">
        <v>2</v>
      </c>
      <c r="C20" t="s">
        <v>38</v>
      </c>
      <c r="D20" t="s">
        <v>33</v>
      </c>
      <c r="E20">
        <v>4</v>
      </c>
      <c r="F20" t="s">
        <v>66</v>
      </c>
      <c r="G20" t="s">
        <v>39</v>
      </c>
      <c r="H20" t="s">
        <v>98</v>
      </c>
      <c r="I20" t="s">
        <v>96</v>
      </c>
      <c r="J20">
        <v>28</v>
      </c>
    </row>
    <row r="21" spans="1:10" x14ac:dyDescent="0.25">
      <c r="A21">
        <v>71</v>
      </c>
      <c r="B21">
        <v>2</v>
      </c>
      <c r="C21" t="s">
        <v>40</v>
      </c>
      <c r="D21" t="s">
        <v>33</v>
      </c>
      <c r="E21">
        <v>5</v>
      </c>
      <c r="F21" t="s">
        <v>67</v>
      </c>
      <c r="G21" t="s">
        <v>41</v>
      </c>
      <c r="H21" t="s">
        <v>99</v>
      </c>
      <c r="I21" t="s">
        <v>95</v>
      </c>
      <c r="J21">
        <v>6</v>
      </c>
    </row>
    <row r="22" spans="1:10" x14ac:dyDescent="0.25">
      <c r="A22">
        <v>74</v>
      </c>
      <c r="B22">
        <v>1</v>
      </c>
      <c r="C22" t="s">
        <v>4</v>
      </c>
      <c r="D22" t="s">
        <v>33</v>
      </c>
      <c r="E22">
        <v>5</v>
      </c>
      <c r="F22" t="s">
        <v>4</v>
      </c>
      <c r="G22" t="s">
        <v>42</v>
      </c>
      <c r="H22" t="s">
        <v>92</v>
      </c>
      <c r="I22" t="s">
        <v>50</v>
      </c>
      <c r="J22" t="s">
        <v>50</v>
      </c>
    </row>
    <row r="23" spans="1:10" x14ac:dyDescent="0.25">
      <c r="A23">
        <v>79</v>
      </c>
      <c r="B23">
        <v>2</v>
      </c>
      <c r="C23" t="s">
        <v>44</v>
      </c>
      <c r="D23" t="s">
        <v>43</v>
      </c>
      <c r="E23">
        <v>1</v>
      </c>
      <c r="F23" t="s">
        <v>68</v>
      </c>
      <c r="G23" t="s">
        <v>22</v>
      </c>
      <c r="H23" t="s">
        <v>85</v>
      </c>
      <c r="I23" t="s">
        <v>95</v>
      </c>
      <c r="J23">
        <v>36</v>
      </c>
    </row>
    <row r="24" spans="1:10" x14ac:dyDescent="0.25">
      <c r="A24">
        <v>85</v>
      </c>
      <c r="B24">
        <v>2</v>
      </c>
      <c r="C24" t="s">
        <v>45</v>
      </c>
      <c r="D24" t="s">
        <v>43</v>
      </c>
      <c r="E24">
        <v>2</v>
      </c>
      <c r="F24" t="s">
        <v>69</v>
      </c>
      <c r="G24" t="s">
        <v>46</v>
      </c>
      <c r="H24" t="s">
        <v>86</v>
      </c>
      <c r="I24" t="s">
        <v>95</v>
      </c>
      <c r="J24">
        <v>14</v>
      </c>
    </row>
    <row r="25" spans="1:10" x14ac:dyDescent="0.25">
      <c r="A25">
        <v>88</v>
      </c>
      <c r="B25">
        <v>1</v>
      </c>
      <c r="C25" t="s">
        <v>4</v>
      </c>
      <c r="D25" t="s">
        <v>43</v>
      </c>
      <c r="E25">
        <v>2</v>
      </c>
      <c r="F25" t="s">
        <v>4</v>
      </c>
      <c r="G25" t="s">
        <v>25</v>
      </c>
      <c r="H25" t="s">
        <v>93</v>
      </c>
      <c r="I25" t="s">
        <v>50</v>
      </c>
      <c r="J25" t="s">
        <v>50</v>
      </c>
    </row>
    <row r="26" spans="1:10" x14ac:dyDescent="0.25">
      <c r="A26">
        <v>93</v>
      </c>
      <c r="B26">
        <v>2</v>
      </c>
      <c r="C26" t="s">
        <v>47</v>
      </c>
      <c r="D26" t="s">
        <v>43</v>
      </c>
      <c r="E26">
        <v>3</v>
      </c>
      <c r="F26" t="s">
        <v>70</v>
      </c>
      <c r="G26" t="s">
        <v>48</v>
      </c>
      <c r="H26" t="s">
        <v>87</v>
      </c>
      <c r="I26" t="s">
        <v>94</v>
      </c>
      <c r="J26">
        <v>49</v>
      </c>
    </row>
    <row r="27" spans="1:10" x14ac:dyDescent="0.25">
      <c r="A27">
        <v>1</v>
      </c>
      <c r="B27">
        <v>2</v>
      </c>
      <c r="C27" t="s">
        <v>49</v>
      </c>
      <c r="D27" t="s">
        <v>49</v>
      </c>
      <c r="E27">
        <v>0</v>
      </c>
    </row>
    <row r="28" spans="1:10" x14ac:dyDescent="0.25">
      <c r="A28">
        <v>2</v>
      </c>
      <c r="D28" t="s">
        <v>49</v>
      </c>
      <c r="E28">
        <v>0</v>
      </c>
      <c r="F28" t="s">
        <v>50</v>
      </c>
    </row>
  </sheetData>
  <sortState xmlns:xlrd2="http://schemas.microsoft.com/office/spreadsheetml/2017/richdata2" ref="A1:H26">
    <sortCondition ref="A1:A26"/>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94071-4E68-48D6-B9B0-2D652367C7D6}">
  <sheetPr codeName="Sheet1" filterMode="1"/>
  <dimension ref="A1:I198"/>
  <sheetViews>
    <sheetView tabSelected="1" topLeftCell="F113" workbookViewId="0">
      <selection activeCell="I109" sqref="I109"/>
    </sheetView>
  </sheetViews>
  <sheetFormatPr defaultRowHeight="15" x14ac:dyDescent="0.25"/>
  <cols>
    <col min="1" max="1" width="52.42578125" bestFit="1" customWidth="1"/>
    <col min="3" max="3" width="51.28515625" bestFit="1" customWidth="1"/>
    <col min="4" max="4" width="12" customWidth="1"/>
    <col min="5" max="5" width="52.42578125" bestFit="1" customWidth="1"/>
    <col min="6" max="6" width="9.140625" style="5"/>
    <col min="7" max="7" width="107" bestFit="1" customWidth="1"/>
    <col min="9" max="9" width="119.140625" customWidth="1"/>
  </cols>
  <sheetData>
    <row r="1" spans="1:7" x14ac:dyDescent="0.25">
      <c r="A1" s="1" t="s">
        <v>132</v>
      </c>
    </row>
    <row r="2" spans="1:7" x14ac:dyDescent="0.25">
      <c r="D2">
        <v>0</v>
      </c>
    </row>
    <row r="3" spans="1:7" hidden="1" x14ac:dyDescent="0.25">
      <c r="A3" t="s">
        <v>49</v>
      </c>
      <c r="B3" t="b">
        <f>OR(NOT(ISERROR(FIND("m ",A4))),(RIGHT(A4,1)="m"))</f>
        <v>0</v>
      </c>
      <c r="C3" t="s">
        <v>49</v>
      </c>
      <c r="D3">
        <f>IF(C3&lt;&gt;C2,0,IF(B3,D2+1,D2))</f>
        <v>0</v>
      </c>
      <c r="F3"/>
    </row>
    <row r="4" spans="1:7" hidden="1" x14ac:dyDescent="0.25">
      <c r="B4" t="b">
        <v>0</v>
      </c>
      <c r="C4" t="str">
        <f>IF(ISERROR(FIND(". ",A4)),C3,A4)</f>
        <v>0. Introduction</v>
      </c>
      <c r="D4">
        <f t="shared" ref="D4:D59" si="0">IF(C4&lt;&gt;C3,0,IF(B4,D3+1,D3))</f>
        <v>0</v>
      </c>
      <c r="E4" t="str">
        <f>IF(B4,D4&amp;". "&amp;A4,"")</f>
        <v/>
      </c>
      <c r="F4" t="str">
        <f t="shared" ref="F4:F35" si="1">IF(B4,A5,"")</f>
        <v/>
      </c>
    </row>
    <row r="5" spans="1:7" x14ac:dyDescent="0.25">
      <c r="A5" t="s">
        <v>100</v>
      </c>
      <c r="B5" t="b">
        <f>ISNUMBER(VALUE(LEFT(A6,FIND("m ",A6)-1)))</f>
        <v>1</v>
      </c>
      <c r="C5" t="str">
        <f t="shared" ref="C5:C59" si="2">IF(ISERROR(FIND(". ",A5)),C4,A5)</f>
        <v>0. Introduction</v>
      </c>
      <c r="D5">
        <f t="shared" si="0"/>
        <v>1</v>
      </c>
      <c r="E5" t="str">
        <f t="shared" ref="E5:E59" si="3">IF(B5,D5&amp;". "&amp;A5,"")</f>
        <v>1. Welcome to Essentials of Team Collaboration</v>
      </c>
      <c r="F5" s="5" t="str">
        <f t="shared" si="1"/>
        <v>1m 38s</v>
      </c>
      <c r="G5" t="str">
        <f>IF(B5,C5&amp;" ("&amp;E5&amp;")","")</f>
        <v>0. Introduction (1. Welcome to Essentials of Team Collaboration)</v>
      </c>
    </row>
    <row r="6" spans="1:7" hidden="1" x14ac:dyDescent="0.25">
      <c r="A6" t="s">
        <v>101</v>
      </c>
      <c r="B6" t="b">
        <f t="shared" ref="B6:B59" si="4">ISNUMBER(VALUE(LEFT(A7,FIND("m ",A7)-1)))</f>
        <v>0</v>
      </c>
      <c r="C6" t="str">
        <f t="shared" si="2"/>
        <v>0. Introduction</v>
      </c>
      <c r="D6">
        <f t="shared" si="0"/>
        <v>1</v>
      </c>
      <c r="E6" t="str">
        <f t="shared" si="3"/>
        <v/>
      </c>
      <c r="F6" t="str">
        <f t="shared" si="1"/>
        <v/>
      </c>
      <c r="G6" t="str">
        <f t="shared" ref="G6:G59" si="5">IF(B6,C6&amp;" ("&amp;E6&amp;")","")</f>
        <v/>
      </c>
    </row>
    <row r="7" spans="1:7" x14ac:dyDescent="0.25">
      <c r="A7" t="s">
        <v>103</v>
      </c>
      <c r="B7" t="b">
        <f t="shared" si="4"/>
        <v>1</v>
      </c>
      <c r="C7" t="str">
        <f t="shared" si="2"/>
        <v>0. Introduction</v>
      </c>
      <c r="D7">
        <f t="shared" si="0"/>
        <v>2</v>
      </c>
      <c r="E7" t="str">
        <f t="shared" si="3"/>
        <v>2. Why team collaboration is necessary</v>
      </c>
      <c r="F7" s="5" t="str">
        <f t="shared" si="1"/>
        <v>3m 27s</v>
      </c>
      <c r="G7" t="str">
        <f t="shared" si="5"/>
        <v>0. Introduction (2. Why team collaboration is necessary)</v>
      </c>
    </row>
    <row r="8" spans="1:7" hidden="1" x14ac:dyDescent="0.25">
      <c r="A8" t="s">
        <v>104</v>
      </c>
      <c r="B8" t="b">
        <f t="shared" si="4"/>
        <v>0</v>
      </c>
      <c r="C8" t="str">
        <f t="shared" si="2"/>
        <v>0. Introduction</v>
      </c>
      <c r="D8">
        <f t="shared" si="0"/>
        <v>2</v>
      </c>
      <c r="E8" t="str">
        <f t="shared" si="3"/>
        <v/>
      </c>
      <c r="F8" t="str">
        <f t="shared" si="1"/>
        <v/>
      </c>
      <c r="G8" t="str">
        <f t="shared" si="5"/>
        <v/>
      </c>
    </row>
    <row r="9" spans="1:7" hidden="1" x14ac:dyDescent="0.25">
      <c r="A9" t="s">
        <v>102</v>
      </c>
      <c r="B9" t="b">
        <f t="shared" si="4"/>
        <v>0</v>
      </c>
      <c r="C9" t="str">
        <f t="shared" si="2"/>
        <v>0. Introduction</v>
      </c>
      <c r="D9">
        <f t="shared" si="0"/>
        <v>2</v>
      </c>
      <c r="E9" t="str">
        <f t="shared" si="3"/>
        <v/>
      </c>
      <c r="F9" t="str">
        <f t="shared" si="1"/>
        <v/>
      </c>
      <c r="G9" t="str">
        <f t="shared" si="5"/>
        <v/>
      </c>
    </row>
    <row r="10" spans="1:7" hidden="1" x14ac:dyDescent="0.25">
      <c r="B10" t="b">
        <f t="shared" si="4"/>
        <v>0</v>
      </c>
      <c r="C10" t="str">
        <f t="shared" si="2"/>
        <v>0. Introduction</v>
      </c>
      <c r="D10">
        <f t="shared" si="0"/>
        <v>2</v>
      </c>
      <c r="E10" t="str">
        <f t="shared" si="3"/>
        <v/>
      </c>
      <c r="F10" t="str">
        <f t="shared" si="1"/>
        <v/>
      </c>
      <c r="G10" t="str">
        <f t="shared" si="5"/>
        <v/>
      </c>
    </row>
    <row r="11" spans="1:7" hidden="1" x14ac:dyDescent="0.25">
      <c r="A11" t="s">
        <v>105</v>
      </c>
      <c r="B11" t="b">
        <f t="shared" si="4"/>
        <v>0</v>
      </c>
      <c r="C11" t="str">
        <f t="shared" si="2"/>
        <v>1. Setting the Stage for Strong Team Collaboration</v>
      </c>
      <c r="D11">
        <f t="shared" si="0"/>
        <v>0</v>
      </c>
      <c r="E11" t="str">
        <f t="shared" si="3"/>
        <v/>
      </c>
      <c r="F11" t="str">
        <f t="shared" si="1"/>
        <v/>
      </c>
      <c r="G11" t="str">
        <f t="shared" si="5"/>
        <v/>
      </c>
    </row>
    <row r="12" spans="1:7" hidden="1" x14ac:dyDescent="0.25">
      <c r="B12" t="b">
        <f t="shared" si="4"/>
        <v>0</v>
      </c>
      <c r="C12" t="str">
        <f t="shared" si="2"/>
        <v>1. Setting the Stage for Strong Team Collaboration</v>
      </c>
      <c r="D12">
        <f t="shared" si="0"/>
        <v>0</v>
      </c>
      <c r="E12" t="str">
        <f t="shared" si="3"/>
        <v/>
      </c>
      <c r="F12" t="str">
        <f t="shared" si="1"/>
        <v/>
      </c>
      <c r="G12" t="str">
        <f t="shared" si="5"/>
        <v/>
      </c>
    </row>
    <row r="13" spans="1:7" x14ac:dyDescent="0.25">
      <c r="A13" t="s">
        <v>106</v>
      </c>
      <c r="B13" t="b">
        <f t="shared" si="4"/>
        <v>1</v>
      </c>
      <c r="C13" t="str">
        <f t="shared" si="2"/>
        <v>1. Setting the Stage for Strong Team Collaboration</v>
      </c>
      <c r="D13">
        <f t="shared" si="0"/>
        <v>1</v>
      </c>
      <c r="E13" t="str">
        <f t="shared" si="3"/>
        <v>1. Six key questions for effective collaboration</v>
      </c>
      <c r="F13" s="5" t="str">
        <f t="shared" si="1"/>
        <v>2m 51s</v>
      </c>
      <c r="G13" t="str">
        <f t="shared" si="5"/>
        <v>1. Setting the Stage for Strong Team Collaboration (1. Six key questions for effective collaboration)</v>
      </c>
    </row>
    <row r="14" spans="1:7" hidden="1" x14ac:dyDescent="0.25">
      <c r="A14" t="s">
        <v>107</v>
      </c>
      <c r="B14" t="b">
        <f t="shared" si="4"/>
        <v>0</v>
      </c>
      <c r="C14" t="str">
        <f t="shared" si="2"/>
        <v>1. Setting the Stage for Strong Team Collaboration</v>
      </c>
      <c r="D14">
        <f t="shared" si="0"/>
        <v>1</v>
      </c>
      <c r="E14" t="str">
        <f t="shared" si="3"/>
        <v/>
      </c>
      <c r="F14" t="str">
        <f t="shared" si="1"/>
        <v/>
      </c>
      <c r="G14" t="str">
        <f t="shared" si="5"/>
        <v/>
      </c>
    </row>
    <row r="15" spans="1:7" hidden="1" x14ac:dyDescent="0.25">
      <c r="A15" t="s">
        <v>102</v>
      </c>
      <c r="B15" t="b">
        <f t="shared" si="4"/>
        <v>0</v>
      </c>
      <c r="C15" t="str">
        <f t="shared" si="2"/>
        <v>1. Setting the Stage for Strong Team Collaboration</v>
      </c>
      <c r="D15">
        <f t="shared" si="0"/>
        <v>1</v>
      </c>
      <c r="E15" t="str">
        <f t="shared" si="3"/>
        <v/>
      </c>
      <c r="F15" t="str">
        <f t="shared" si="1"/>
        <v/>
      </c>
      <c r="G15" t="str">
        <f t="shared" si="5"/>
        <v/>
      </c>
    </row>
    <row r="16" spans="1:7" x14ac:dyDescent="0.25">
      <c r="A16" t="s">
        <v>108</v>
      </c>
      <c r="B16" t="b">
        <f t="shared" si="4"/>
        <v>1</v>
      </c>
      <c r="C16" t="str">
        <f t="shared" si="2"/>
        <v>1. Setting the Stage for Strong Team Collaboration</v>
      </c>
      <c r="D16">
        <f t="shared" si="0"/>
        <v>2</v>
      </c>
      <c r="E16" t="str">
        <f t="shared" si="3"/>
        <v>2. Identify the right team composition</v>
      </c>
      <c r="F16" s="5" t="str">
        <f t="shared" si="1"/>
        <v>2m 22s</v>
      </c>
      <c r="G16" t="str">
        <f t="shared" si="5"/>
        <v>1. Setting the Stage for Strong Team Collaboration (2. Identify the right team composition)</v>
      </c>
    </row>
    <row r="17" spans="1:7" hidden="1" x14ac:dyDescent="0.25">
      <c r="A17" t="s">
        <v>109</v>
      </c>
      <c r="B17" t="b">
        <f t="shared" si="4"/>
        <v>0</v>
      </c>
      <c r="C17" t="str">
        <f t="shared" si="2"/>
        <v>1. Setting the Stage for Strong Team Collaboration</v>
      </c>
      <c r="D17">
        <f t="shared" si="0"/>
        <v>2</v>
      </c>
      <c r="E17" t="str">
        <f t="shared" si="3"/>
        <v/>
      </c>
      <c r="F17" t="str">
        <f t="shared" si="1"/>
        <v/>
      </c>
      <c r="G17" t="str">
        <f t="shared" si="5"/>
        <v/>
      </c>
    </row>
    <row r="18" spans="1:7" hidden="1" x14ac:dyDescent="0.25">
      <c r="A18" t="s">
        <v>102</v>
      </c>
      <c r="B18" t="b">
        <f t="shared" si="4"/>
        <v>0</v>
      </c>
      <c r="C18" t="str">
        <f t="shared" si="2"/>
        <v>1. Setting the Stage for Strong Team Collaboration</v>
      </c>
      <c r="D18">
        <f t="shared" si="0"/>
        <v>2</v>
      </c>
      <c r="E18" t="str">
        <f t="shared" si="3"/>
        <v/>
      </c>
      <c r="F18" t="str">
        <f t="shared" si="1"/>
        <v/>
      </c>
      <c r="G18" t="str">
        <f t="shared" si="5"/>
        <v/>
      </c>
    </row>
    <row r="19" spans="1:7" x14ac:dyDescent="0.25">
      <c r="A19" t="s">
        <v>110</v>
      </c>
      <c r="B19" t="b">
        <f t="shared" si="4"/>
        <v>1</v>
      </c>
      <c r="C19" t="str">
        <f t="shared" si="2"/>
        <v>1. Setting the Stage for Strong Team Collaboration</v>
      </c>
      <c r="D19">
        <f t="shared" si="0"/>
        <v>3</v>
      </c>
      <c r="E19" t="str">
        <f t="shared" si="3"/>
        <v>3. Clarify the team's goal and purpose</v>
      </c>
      <c r="F19" s="5" t="str">
        <f t="shared" si="1"/>
        <v>2m 37s</v>
      </c>
      <c r="G19" t="str">
        <f t="shared" si="5"/>
        <v>1. Setting the Stage for Strong Team Collaboration (3. Clarify the team's goal and purpose)</v>
      </c>
    </row>
    <row r="20" spans="1:7" hidden="1" x14ac:dyDescent="0.25">
      <c r="A20" t="s">
        <v>111</v>
      </c>
      <c r="B20" t="b">
        <f t="shared" si="4"/>
        <v>0</v>
      </c>
      <c r="C20" t="str">
        <f t="shared" si="2"/>
        <v>1. Setting the Stage for Strong Team Collaboration</v>
      </c>
      <c r="D20">
        <f t="shared" si="0"/>
        <v>3</v>
      </c>
      <c r="E20" t="str">
        <f t="shared" si="3"/>
        <v/>
      </c>
      <c r="F20" t="str">
        <f t="shared" si="1"/>
        <v/>
      </c>
      <c r="G20" t="str">
        <f t="shared" si="5"/>
        <v/>
      </c>
    </row>
    <row r="21" spans="1:7" hidden="1" x14ac:dyDescent="0.25">
      <c r="A21" t="s">
        <v>102</v>
      </c>
      <c r="B21" t="b">
        <f t="shared" si="4"/>
        <v>0</v>
      </c>
      <c r="C21" t="str">
        <f t="shared" si="2"/>
        <v>1. Setting the Stage for Strong Team Collaboration</v>
      </c>
      <c r="D21">
        <f t="shared" si="0"/>
        <v>3</v>
      </c>
      <c r="E21" t="str">
        <f t="shared" si="3"/>
        <v/>
      </c>
      <c r="F21" t="str">
        <f t="shared" si="1"/>
        <v/>
      </c>
      <c r="G21" t="str">
        <f t="shared" si="5"/>
        <v/>
      </c>
    </row>
    <row r="22" spans="1:7" x14ac:dyDescent="0.25">
      <c r="A22" t="s">
        <v>112</v>
      </c>
      <c r="B22" t="b">
        <f t="shared" si="4"/>
        <v>1</v>
      </c>
      <c r="C22" t="str">
        <f t="shared" si="2"/>
        <v>1. Setting the Stage for Strong Team Collaboration</v>
      </c>
      <c r="D22">
        <f t="shared" si="0"/>
        <v>4</v>
      </c>
      <c r="E22" t="str">
        <f t="shared" si="3"/>
        <v>4. Clarify constraints, expectations, and processes up front</v>
      </c>
      <c r="F22" s="5" t="str">
        <f t="shared" si="1"/>
        <v>2m 24s</v>
      </c>
      <c r="G22" t="str">
        <f t="shared" si="5"/>
        <v>1. Setting the Stage for Strong Team Collaboration (4. Clarify constraints, expectations, and processes up front)</v>
      </c>
    </row>
    <row r="23" spans="1:7" hidden="1" x14ac:dyDescent="0.25">
      <c r="A23" t="s">
        <v>113</v>
      </c>
      <c r="B23" t="b">
        <f t="shared" si="4"/>
        <v>0</v>
      </c>
      <c r="C23" t="str">
        <f t="shared" si="2"/>
        <v>1. Setting the Stage for Strong Team Collaboration</v>
      </c>
      <c r="D23">
        <f t="shared" si="0"/>
        <v>4</v>
      </c>
      <c r="E23" t="str">
        <f t="shared" si="3"/>
        <v/>
      </c>
      <c r="F23" t="str">
        <f t="shared" si="1"/>
        <v/>
      </c>
      <c r="G23" t="str">
        <f t="shared" si="5"/>
        <v/>
      </c>
    </row>
    <row r="24" spans="1:7" hidden="1" x14ac:dyDescent="0.25">
      <c r="A24" t="s">
        <v>102</v>
      </c>
      <c r="B24" t="b">
        <f t="shared" si="4"/>
        <v>0</v>
      </c>
      <c r="C24" t="str">
        <f t="shared" si="2"/>
        <v>1. Setting the Stage for Strong Team Collaboration</v>
      </c>
      <c r="D24">
        <f t="shared" si="0"/>
        <v>4</v>
      </c>
      <c r="E24" t="str">
        <f t="shared" si="3"/>
        <v/>
      </c>
      <c r="F24" t="str">
        <f t="shared" si="1"/>
        <v/>
      </c>
      <c r="G24" t="str">
        <f t="shared" si="5"/>
        <v/>
      </c>
    </row>
    <row r="25" spans="1:7" hidden="1" x14ac:dyDescent="0.25">
      <c r="A25" t="s">
        <v>4</v>
      </c>
      <c r="B25" t="b">
        <f t="shared" si="4"/>
        <v>0</v>
      </c>
      <c r="C25" t="str">
        <f t="shared" si="2"/>
        <v>1. Setting the Stage for Strong Team Collaboration</v>
      </c>
      <c r="D25">
        <f t="shared" si="0"/>
        <v>4</v>
      </c>
      <c r="E25" t="str">
        <f t="shared" si="3"/>
        <v/>
      </c>
      <c r="F25" t="str">
        <f t="shared" si="1"/>
        <v/>
      </c>
      <c r="G25" t="str">
        <f t="shared" si="5"/>
        <v/>
      </c>
    </row>
    <row r="26" spans="1:7" hidden="1" x14ac:dyDescent="0.25">
      <c r="A26" t="s">
        <v>42</v>
      </c>
      <c r="B26" t="b">
        <f t="shared" si="4"/>
        <v>0</v>
      </c>
      <c r="C26" t="str">
        <f t="shared" si="2"/>
        <v>1. Setting the Stage for Strong Team Collaboration</v>
      </c>
      <c r="D26">
        <f t="shared" si="0"/>
        <v>4</v>
      </c>
      <c r="E26" t="str">
        <f t="shared" si="3"/>
        <v/>
      </c>
      <c r="F26" t="str">
        <f t="shared" si="1"/>
        <v/>
      </c>
      <c r="G26" t="str">
        <f t="shared" si="5"/>
        <v/>
      </c>
    </row>
    <row r="27" spans="1:7" hidden="1" x14ac:dyDescent="0.25">
      <c r="B27" t="b">
        <f t="shared" si="4"/>
        <v>0</v>
      </c>
      <c r="C27" t="str">
        <f t="shared" si="2"/>
        <v>1. Setting the Stage for Strong Team Collaboration</v>
      </c>
      <c r="D27">
        <f t="shared" si="0"/>
        <v>4</v>
      </c>
      <c r="E27" t="str">
        <f t="shared" si="3"/>
        <v/>
      </c>
      <c r="F27" t="str">
        <f t="shared" si="1"/>
        <v/>
      </c>
      <c r="G27" t="str">
        <f t="shared" si="5"/>
        <v/>
      </c>
    </row>
    <row r="28" spans="1:7" hidden="1" x14ac:dyDescent="0.25">
      <c r="A28" t="s">
        <v>114</v>
      </c>
      <c r="B28" t="b">
        <f t="shared" si="4"/>
        <v>0</v>
      </c>
      <c r="C28" t="str">
        <f t="shared" si="2"/>
        <v>2. Five Tactics to Encourage Healthy Team Collaboration</v>
      </c>
      <c r="D28">
        <f t="shared" si="0"/>
        <v>0</v>
      </c>
      <c r="E28" t="str">
        <f t="shared" si="3"/>
        <v/>
      </c>
      <c r="F28" t="str">
        <f t="shared" si="1"/>
        <v/>
      </c>
      <c r="G28" t="str">
        <f t="shared" si="5"/>
        <v/>
      </c>
    </row>
    <row r="29" spans="1:7" hidden="1" x14ac:dyDescent="0.25">
      <c r="B29" t="b">
        <f t="shared" si="4"/>
        <v>0</v>
      </c>
      <c r="C29" t="str">
        <f t="shared" si="2"/>
        <v>2. Five Tactics to Encourage Healthy Team Collaboration</v>
      </c>
      <c r="D29">
        <f t="shared" si="0"/>
        <v>0</v>
      </c>
      <c r="E29" t="str">
        <f t="shared" si="3"/>
        <v/>
      </c>
      <c r="F29" t="str">
        <f t="shared" si="1"/>
        <v/>
      </c>
      <c r="G29" t="str">
        <f t="shared" si="5"/>
        <v/>
      </c>
    </row>
    <row r="30" spans="1:7" x14ac:dyDescent="0.25">
      <c r="A30" t="s">
        <v>115</v>
      </c>
      <c r="B30" t="b">
        <f t="shared" si="4"/>
        <v>1</v>
      </c>
      <c r="C30" t="str">
        <f t="shared" si="2"/>
        <v>2. Five Tactics to Encourage Healthy Team Collaboration</v>
      </c>
      <c r="D30">
        <f t="shared" si="0"/>
        <v>1</v>
      </c>
      <c r="E30" t="str">
        <f t="shared" si="3"/>
        <v>1. Develop team ground rules</v>
      </c>
      <c r="F30" s="5" t="str">
        <f t="shared" si="1"/>
        <v>2m 16s</v>
      </c>
      <c r="G30" t="str">
        <f t="shared" si="5"/>
        <v>2. Five Tactics to Encourage Healthy Team Collaboration (1. Develop team ground rules)</v>
      </c>
    </row>
    <row r="31" spans="1:7" hidden="1" x14ac:dyDescent="0.25">
      <c r="A31" t="s">
        <v>116</v>
      </c>
      <c r="B31" t="b">
        <f t="shared" si="4"/>
        <v>0</v>
      </c>
      <c r="C31" t="str">
        <f t="shared" si="2"/>
        <v>2. Five Tactics to Encourage Healthy Team Collaboration</v>
      </c>
      <c r="D31">
        <f t="shared" si="0"/>
        <v>1</v>
      </c>
      <c r="E31" t="str">
        <f t="shared" si="3"/>
        <v/>
      </c>
      <c r="F31" t="str">
        <f t="shared" si="1"/>
        <v/>
      </c>
      <c r="G31" t="str">
        <f t="shared" si="5"/>
        <v/>
      </c>
    </row>
    <row r="32" spans="1:7" hidden="1" x14ac:dyDescent="0.25">
      <c r="A32" t="s">
        <v>102</v>
      </c>
      <c r="B32" t="b">
        <f t="shared" si="4"/>
        <v>0</v>
      </c>
      <c r="C32" t="str">
        <f t="shared" si="2"/>
        <v>2. Five Tactics to Encourage Healthy Team Collaboration</v>
      </c>
      <c r="D32">
        <f t="shared" si="0"/>
        <v>1</v>
      </c>
      <c r="E32" t="str">
        <f t="shared" si="3"/>
        <v/>
      </c>
      <c r="F32" t="str">
        <f t="shared" si="1"/>
        <v/>
      </c>
      <c r="G32" t="str">
        <f t="shared" si="5"/>
        <v/>
      </c>
    </row>
    <row r="33" spans="1:7" x14ac:dyDescent="0.25">
      <c r="A33" t="s">
        <v>117</v>
      </c>
      <c r="B33" t="b">
        <f t="shared" si="4"/>
        <v>1</v>
      </c>
      <c r="C33" t="str">
        <f t="shared" si="2"/>
        <v>2. Five Tactics to Encourage Healthy Team Collaboration</v>
      </c>
      <c r="D33">
        <f t="shared" si="0"/>
        <v>2</v>
      </c>
      <c r="E33" t="str">
        <f t="shared" si="3"/>
        <v>2. Build relationships early and often(Viewed)</v>
      </c>
      <c r="F33" s="5" t="str">
        <f t="shared" si="1"/>
        <v>3m 7s</v>
      </c>
      <c r="G33" t="str">
        <f t="shared" si="5"/>
        <v>2. Five Tactics to Encourage Healthy Team Collaboration (2. Build relationships early and often(Viewed))</v>
      </c>
    </row>
    <row r="34" spans="1:7" hidden="1" x14ac:dyDescent="0.25">
      <c r="A34" t="s">
        <v>118</v>
      </c>
      <c r="B34" t="b">
        <f t="shared" si="4"/>
        <v>0</v>
      </c>
      <c r="C34" t="str">
        <f t="shared" si="2"/>
        <v>2. Five Tactics to Encourage Healthy Team Collaboration</v>
      </c>
      <c r="D34">
        <f t="shared" si="0"/>
        <v>2</v>
      </c>
      <c r="E34" t="str">
        <f t="shared" si="3"/>
        <v/>
      </c>
      <c r="F34" t="str">
        <f t="shared" si="1"/>
        <v/>
      </c>
      <c r="G34" t="str">
        <f t="shared" si="5"/>
        <v/>
      </c>
    </row>
    <row r="35" spans="1:7" hidden="1" x14ac:dyDescent="0.25">
      <c r="A35" t="s">
        <v>102</v>
      </c>
      <c r="B35" t="b">
        <f t="shared" si="4"/>
        <v>0</v>
      </c>
      <c r="C35" t="str">
        <f t="shared" si="2"/>
        <v>2. Five Tactics to Encourage Healthy Team Collaboration</v>
      </c>
      <c r="D35">
        <f t="shared" si="0"/>
        <v>2</v>
      </c>
      <c r="E35" t="str">
        <f t="shared" si="3"/>
        <v/>
      </c>
      <c r="F35" t="str">
        <f t="shared" si="1"/>
        <v/>
      </c>
      <c r="G35" t="str">
        <f t="shared" si="5"/>
        <v/>
      </c>
    </row>
    <row r="36" spans="1:7" x14ac:dyDescent="0.25">
      <c r="A36" t="s">
        <v>119</v>
      </c>
      <c r="B36" t="b">
        <f t="shared" si="4"/>
        <v>1</v>
      </c>
      <c r="C36" t="str">
        <f t="shared" si="2"/>
        <v>2. Five Tactics to Encourage Healthy Team Collaboration</v>
      </c>
      <c r="D36">
        <f t="shared" si="0"/>
        <v>3</v>
      </c>
      <c r="E36" t="str">
        <f t="shared" si="3"/>
        <v>3. Identify team members' preferred communication mode</v>
      </c>
      <c r="F36" s="5" t="str">
        <f t="shared" ref="F36:F59" si="6">IF(B36,A37,"")</f>
        <v>2m 39s</v>
      </c>
      <c r="G36" t="str">
        <f t="shared" si="5"/>
        <v>2. Five Tactics to Encourage Healthy Team Collaboration (3. Identify team members' preferred communication mode)</v>
      </c>
    </row>
    <row r="37" spans="1:7" hidden="1" x14ac:dyDescent="0.25">
      <c r="A37" t="s">
        <v>120</v>
      </c>
      <c r="B37" t="b">
        <f t="shared" si="4"/>
        <v>0</v>
      </c>
      <c r="C37" t="str">
        <f t="shared" si="2"/>
        <v>2. Five Tactics to Encourage Healthy Team Collaboration</v>
      </c>
      <c r="D37">
        <f t="shared" si="0"/>
        <v>3</v>
      </c>
      <c r="E37" t="str">
        <f t="shared" si="3"/>
        <v/>
      </c>
      <c r="F37" t="str">
        <f t="shared" si="6"/>
        <v/>
      </c>
      <c r="G37" t="str">
        <f t="shared" si="5"/>
        <v/>
      </c>
    </row>
    <row r="38" spans="1:7" hidden="1" x14ac:dyDescent="0.25">
      <c r="A38" t="s">
        <v>102</v>
      </c>
      <c r="B38" t="b">
        <f t="shared" si="4"/>
        <v>0</v>
      </c>
      <c r="C38" t="str">
        <f t="shared" si="2"/>
        <v>2. Five Tactics to Encourage Healthy Team Collaboration</v>
      </c>
      <c r="D38">
        <f t="shared" si="0"/>
        <v>3</v>
      </c>
      <c r="E38" t="str">
        <f t="shared" si="3"/>
        <v/>
      </c>
      <c r="F38" t="str">
        <f t="shared" si="6"/>
        <v/>
      </c>
      <c r="G38" t="str">
        <f t="shared" si="5"/>
        <v/>
      </c>
    </row>
    <row r="39" spans="1:7" x14ac:dyDescent="0.25">
      <c r="A39" t="s">
        <v>121</v>
      </c>
      <c r="B39" t="b">
        <f t="shared" si="4"/>
        <v>1</v>
      </c>
      <c r="C39" t="str">
        <f t="shared" si="2"/>
        <v>2. Five Tactics to Encourage Healthy Team Collaboration</v>
      </c>
      <c r="D39">
        <f t="shared" si="0"/>
        <v>4</v>
      </c>
      <c r="E39" t="str">
        <f t="shared" si="3"/>
        <v>4. Tips for great online collaboration</v>
      </c>
      <c r="F39" s="5" t="str">
        <f t="shared" si="6"/>
        <v>2m 56s</v>
      </c>
      <c r="G39" t="str">
        <f t="shared" si="5"/>
        <v>2. Five Tactics to Encourage Healthy Team Collaboration (4. Tips for great online collaboration)</v>
      </c>
    </row>
    <row r="40" spans="1:7" hidden="1" x14ac:dyDescent="0.25">
      <c r="A40" t="s">
        <v>122</v>
      </c>
      <c r="B40" t="b">
        <f t="shared" si="4"/>
        <v>0</v>
      </c>
      <c r="C40" t="str">
        <f t="shared" si="2"/>
        <v>2. Five Tactics to Encourage Healthy Team Collaboration</v>
      </c>
      <c r="D40">
        <f t="shared" si="0"/>
        <v>4</v>
      </c>
      <c r="E40" t="str">
        <f t="shared" si="3"/>
        <v/>
      </c>
      <c r="F40" t="str">
        <f t="shared" si="6"/>
        <v/>
      </c>
      <c r="G40" t="str">
        <f t="shared" si="5"/>
        <v/>
      </c>
    </row>
    <row r="41" spans="1:7" hidden="1" x14ac:dyDescent="0.25">
      <c r="A41" t="s">
        <v>102</v>
      </c>
      <c r="B41" t="b">
        <f t="shared" si="4"/>
        <v>0</v>
      </c>
      <c r="C41" t="str">
        <f t="shared" si="2"/>
        <v>2. Five Tactics to Encourage Healthy Team Collaboration</v>
      </c>
      <c r="D41">
        <f t="shared" si="0"/>
        <v>4</v>
      </c>
      <c r="E41" t="str">
        <f t="shared" si="3"/>
        <v/>
      </c>
      <c r="F41" t="str">
        <f t="shared" si="6"/>
        <v/>
      </c>
      <c r="G41" t="str">
        <f t="shared" si="5"/>
        <v/>
      </c>
    </row>
    <row r="42" spans="1:7" x14ac:dyDescent="0.25">
      <c r="A42" t="s">
        <v>123</v>
      </c>
      <c r="B42" t="b">
        <f t="shared" si="4"/>
        <v>1</v>
      </c>
      <c r="C42" t="str">
        <f t="shared" si="2"/>
        <v>2. Five Tactics to Encourage Healthy Team Collaboration</v>
      </c>
      <c r="D42">
        <f t="shared" si="0"/>
        <v>5</v>
      </c>
      <c r="E42" t="str">
        <f t="shared" si="3"/>
        <v>5. Take periodic temperature checks</v>
      </c>
      <c r="F42" s="5" t="str">
        <f t="shared" si="6"/>
        <v>2m 23s</v>
      </c>
      <c r="G42" t="str">
        <f t="shared" si="5"/>
        <v>2. Five Tactics to Encourage Healthy Team Collaboration (5. Take periodic temperature checks)</v>
      </c>
    </row>
    <row r="43" spans="1:7" hidden="1" x14ac:dyDescent="0.25">
      <c r="A43" t="s">
        <v>124</v>
      </c>
      <c r="B43" t="b">
        <f t="shared" si="4"/>
        <v>0</v>
      </c>
      <c r="C43" t="str">
        <f t="shared" si="2"/>
        <v>2. Five Tactics to Encourage Healthy Team Collaboration</v>
      </c>
      <c r="D43">
        <f t="shared" si="0"/>
        <v>5</v>
      </c>
      <c r="E43" t="str">
        <f t="shared" si="3"/>
        <v/>
      </c>
      <c r="F43" t="str">
        <f t="shared" si="6"/>
        <v/>
      </c>
      <c r="G43" t="str">
        <f t="shared" si="5"/>
        <v/>
      </c>
    </row>
    <row r="44" spans="1:7" hidden="1" x14ac:dyDescent="0.25">
      <c r="A44" t="s">
        <v>102</v>
      </c>
      <c r="B44" t="b">
        <f t="shared" si="4"/>
        <v>0</v>
      </c>
      <c r="C44" t="str">
        <f t="shared" si="2"/>
        <v>2. Five Tactics to Encourage Healthy Team Collaboration</v>
      </c>
      <c r="D44">
        <f t="shared" si="0"/>
        <v>5</v>
      </c>
      <c r="E44" t="str">
        <f t="shared" si="3"/>
        <v/>
      </c>
      <c r="F44" t="str">
        <f t="shared" si="6"/>
        <v/>
      </c>
      <c r="G44" t="str">
        <f t="shared" si="5"/>
        <v/>
      </c>
    </row>
    <row r="45" spans="1:7" hidden="1" x14ac:dyDescent="0.25">
      <c r="A45" t="s">
        <v>4</v>
      </c>
      <c r="B45" t="b">
        <f t="shared" si="4"/>
        <v>0</v>
      </c>
      <c r="C45" t="str">
        <f t="shared" si="2"/>
        <v>2. Five Tactics to Encourage Healthy Team Collaboration</v>
      </c>
      <c r="D45">
        <f t="shared" si="0"/>
        <v>5</v>
      </c>
      <c r="E45" t="str">
        <f t="shared" si="3"/>
        <v/>
      </c>
      <c r="F45" t="str">
        <f t="shared" si="6"/>
        <v/>
      </c>
      <c r="G45" t="str">
        <f t="shared" si="5"/>
        <v/>
      </c>
    </row>
    <row r="46" spans="1:7" hidden="1" x14ac:dyDescent="0.25">
      <c r="A46" t="s">
        <v>125</v>
      </c>
      <c r="B46" t="b">
        <f t="shared" si="4"/>
        <v>0</v>
      </c>
      <c r="C46" t="str">
        <f t="shared" si="2"/>
        <v>2. Five Tactics to Encourage Healthy Team Collaboration</v>
      </c>
      <c r="D46">
        <f t="shared" si="0"/>
        <v>5</v>
      </c>
      <c r="E46" t="str">
        <f t="shared" si="3"/>
        <v/>
      </c>
      <c r="F46" t="str">
        <f t="shared" si="6"/>
        <v/>
      </c>
      <c r="G46" t="str">
        <f t="shared" si="5"/>
        <v/>
      </c>
    </row>
    <row r="47" spans="1:7" hidden="1" x14ac:dyDescent="0.25">
      <c r="B47" t="b">
        <f t="shared" si="4"/>
        <v>0</v>
      </c>
      <c r="C47" t="str">
        <f t="shared" si="2"/>
        <v>2. Five Tactics to Encourage Healthy Team Collaboration</v>
      </c>
      <c r="D47">
        <f t="shared" si="0"/>
        <v>5</v>
      </c>
      <c r="E47" t="str">
        <f t="shared" si="3"/>
        <v/>
      </c>
      <c r="F47" t="str">
        <f t="shared" si="6"/>
        <v/>
      </c>
      <c r="G47" t="str">
        <f t="shared" si="5"/>
        <v/>
      </c>
    </row>
    <row r="48" spans="1:7" hidden="1" x14ac:dyDescent="0.25">
      <c r="A48" t="s">
        <v>126</v>
      </c>
      <c r="B48" t="b">
        <f t="shared" si="4"/>
        <v>0</v>
      </c>
      <c r="C48" t="str">
        <f t="shared" si="2"/>
        <v>2. Five Tactics to Encourage Healthy Team Collaboration</v>
      </c>
      <c r="D48">
        <f t="shared" si="0"/>
        <v>5</v>
      </c>
      <c r="E48" t="str">
        <f t="shared" si="3"/>
        <v/>
      </c>
      <c r="F48" t="str">
        <f t="shared" si="6"/>
        <v/>
      </c>
      <c r="G48" t="str">
        <f t="shared" si="5"/>
        <v/>
      </c>
    </row>
    <row r="49" spans="1:7" hidden="1" x14ac:dyDescent="0.25">
      <c r="B49" t="b">
        <f t="shared" si="4"/>
        <v>0</v>
      </c>
      <c r="C49" t="str">
        <f t="shared" si="2"/>
        <v>2. Five Tactics to Encourage Healthy Team Collaboration</v>
      </c>
      <c r="D49">
        <f t="shared" si="0"/>
        <v>5</v>
      </c>
      <c r="E49" t="str">
        <f t="shared" si="3"/>
        <v/>
      </c>
      <c r="F49" t="str">
        <f t="shared" si="6"/>
        <v/>
      </c>
      <c r="G49" t="str">
        <f t="shared" si="5"/>
        <v/>
      </c>
    </row>
    <row r="50" spans="1:7" x14ac:dyDescent="0.25">
      <c r="A50" t="s">
        <v>127</v>
      </c>
      <c r="B50" t="b">
        <f t="shared" si="4"/>
        <v>1</v>
      </c>
      <c r="C50" t="str">
        <f t="shared" si="2"/>
        <v>2. Five Tactics to Encourage Healthy Team Collaboration</v>
      </c>
      <c r="D50">
        <f t="shared" si="0"/>
        <v>6</v>
      </c>
      <c r="E50" t="str">
        <f t="shared" si="3"/>
        <v>6. Develop best practices to enhance team collaboration</v>
      </c>
      <c r="F50" s="5" t="str">
        <f t="shared" si="6"/>
        <v>2m 24s</v>
      </c>
      <c r="G50" t="str">
        <f t="shared" si="5"/>
        <v>2. Five Tactics to Encourage Healthy Team Collaboration (6. Develop best practices to enhance team collaboration)</v>
      </c>
    </row>
    <row r="51" spans="1:7" hidden="1" x14ac:dyDescent="0.25">
      <c r="A51" t="s">
        <v>113</v>
      </c>
      <c r="B51" t="b">
        <f t="shared" si="4"/>
        <v>0</v>
      </c>
      <c r="C51" t="str">
        <f t="shared" si="2"/>
        <v>2. Five Tactics to Encourage Healthy Team Collaboration</v>
      </c>
      <c r="D51">
        <f t="shared" si="0"/>
        <v>6</v>
      </c>
      <c r="E51" t="str">
        <f t="shared" si="3"/>
        <v/>
      </c>
      <c r="F51" t="str">
        <f t="shared" si="6"/>
        <v/>
      </c>
      <c r="G51" t="str">
        <f t="shared" si="5"/>
        <v/>
      </c>
    </row>
    <row r="52" spans="1:7" hidden="1" x14ac:dyDescent="0.25">
      <c r="A52" t="s">
        <v>102</v>
      </c>
      <c r="B52" t="b">
        <f t="shared" si="4"/>
        <v>0</v>
      </c>
      <c r="C52" t="str">
        <f t="shared" si="2"/>
        <v>2. Five Tactics to Encourage Healthy Team Collaboration</v>
      </c>
      <c r="D52">
        <f t="shared" si="0"/>
        <v>6</v>
      </c>
      <c r="E52" t="str">
        <f t="shared" si="3"/>
        <v/>
      </c>
      <c r="F52" t="str">
        <f t="shared" si="6"/>
        <v/>
      </c>
      <c r="G52" t="str">
        <f t="shared" si="5"/>
        <v/>
      </c>
    </row>
    <row r="53" spans="1:7" x14ac:dyDescent="0.25">
      <c r="A53" t="s">
        <v>128</v>
      </c>
      <c r="B53" t="b">
        <f t="shared" si="4"/>
        <v>1</v>
      </c>
      <c r="C53" t="str">
        <f t="shared" si="2"/>
        <v>2. Five Tactics to Encourage Healthy Team Collaboration</v>
      </c>
      <c r="D53">
        <f t="shared" si="0"/>
        <v>7</v>
      </c>
      <c r="E53" t="str">
        <f t="shared" si="3"/>
        <v>7. Team collaboration challenge</v>
      </c>
      <c r="F53" s="5" t="str">
        <f t="shared" si="6"/>
        <v>1m 31s</v>
      </c>
      <c r="G53" t="str">
        <f t="shared" si="5"/>
        <v>2. Five Tactics to Encourage Healthy Team Collaboration (7. Team collaboration challenge)</v>
      </c>
    </row>
    <row r="54" spans="1:7" hidden="1" x14ac:dyDescent="0.25">
      <c r="A54" t="s">
        <v>129</v>
      </c>
      <c r="B54" t="b">
        <f t="shared" si="4"/>
        <v>0</v>
      </c>
      <c r="C54" t="str">
        <f t="shared" si="2"/>
        <v>2. Five Tactics to Encourage Healthy Team Collaboration</v>
      </c>
      <c r="D54">
        <f t="shared" si="0"/>
        <v>7</v>
      </c>
      <c r="E54" t="str">
        <f t="shared" si="3"/>
        <v/>
      </c>
      <c r="F54" t="str">
        <f t="shared" si="6"/>
        <v/>
      </c>
      <c r="G54" t="str">
        <f t="shared" si="5"/>
        <v/>
      </c>
    </row>
    <row r="55" spans="1:7" hidden="1" x14ac:dyDescent="0.25">
      <c r="A55" t="s">
        <v>102</v>
      </c>
      <c r="B55" t="b">
        <f t="shared" si="4"/>
        <v>0</v>
      </c>
      <c r="C55" t="str">
        <f t="shared" si="2"/>
        <v>2. Five Tactics to Encourage Healthy Team Collaboration</v>
      </c>
      <c r="D55">
        <f t="shared" si="0"/>
        <v>7</v>
      </c>
      <c r="E55" t="str">
        <f t="shared" si="3"/>
        <v/>
      </c>
      <c r="F55" t="str">
        <f t="shared" si="6"/>
        <v/>
      </c>
      <c r="G55" t="str">
        <f t="shared" si="5"/>
        <v/>
      </c>
    </row>
    <row r="56" spans="1:7" hidden="1" x14ac:dyDescent="0.25">
      <c r="A56" t="s">
        <v>4</v>
      </c>
      <c r="B56" t="b">
        <f t="shared" si="4"/>
        <v>0</v>
      </c>
      <c r="C56" t="str">
        <f t="shared" si="2"/>
        <v>2. Five Tactics to Encourage Healthy Team Collaboration</v>
      </c>
      <c r="D56">
        <f t="shared" si="0"/>
        <v>7</v>
      </c>
      <c r="E56" t="str">
        <f t="shared" si="3"/>
        <v/>
      </c>
      <c r="F56" t="str">
        <f t="shared" si="6"/>
        <v/>
      </c>
      <c r="G56" t="str">
        <f t="shared" si="5"/>
        <v/>
      </c>
    </row>
    <row r="57" spans="1:7" hidden="1" x14ac:dyDescent="0.25">
      <c r="A57" t="s">
        <v>130</v>
      </c>
      <c r="B57" t="b">
        <f t="shared" si="4"/>
        <v>0</v>
      </c>
      <c r="C57" t="str">
        <f t="shared" si="2"/>
        <v>2. Five Tactics to Encourage Healthy Team Collaboration</v>
      </c>
      <c r="D57">
        <f t="shared" si="0"/>
        <v>7</v>
      </c>
      <c r="E57" t="str">
        <f t="shared" si="3"/>
        <v/>
      </c>
      <c r="F57" t="str">
        <f t="shared" si="6"/>
        <v/>
      </c>
      <c r="G57" t="str">
        <f t="shared" si="5"/>
        <v/>
      </c>
    </row>
    <row r="58" spans="1:7" hidden="1" x14ac:dyDescent="0.25">
      <c r="B58" t="b">
        <f t="shared" si="4"/>
        <v>0</v>
      </c>
      <c r="C58" t="str">
        <f t="shared" si="2"/>
        <v>2. Five Tactics to Encourage Healthy Team Collaboration</v>
      </c>
      <c r="D58">
        <f t="shared" si="0"/>
        <v>7</v>
      </c>
      <c r="E58" t="str">
        <f t="shared" si="3"/>
        <v/>
      </c>
      <c r="F58" t="str">
        <f t="shared" si="6"/>
        <v/>
      </c>
      <c r="G58" t="str">
        <f t="shared" si="5"/>
        <v/>
      </c>
    </row>
    <row r="59" spans="1:7" hidden="1" x14ac:dyDescent="0.25">
      <c r="A59" t="s">
        <v>131</v>
      </c>
      <c r="B59" t="b">
        <f t="shared" si="4"/>
        <v>0</v>
      </c>
      <c r="C59" t="str">
        <f t="shared" si="2"/>
        <v>2. Five Tactics to Encourage Healthy Team Collaboration</v>
      </c>
      <c r="D59">
        <f t="shared" si="0"/>
        <v>7</v>
      </c>
      <c r="E59" t="str">
        <f t="shared" si="3"/>
        <v/>
      </c>
      <c r="F59" t="str">
        <f t="shared" si="6"/>
        <v/>
      </c>
      <c r="G59" t="str">
        <f t="shared" si="5"/>
        <v/>
      </c>
    </row>
    <row r="66" spans="6:7" x14ac:dyDescent="0.25">
      <c r="F66" s="5" t="s">
        <v>138</v>
      </c>
    </row>
    <row r="67" spans="6:7" ht="60" x14ac:dyDescent="0.25">
      <c r="G67" s="2" t="s">
        <v>139</v>
      </c>
    </row>
    <row r="68" spans="6:7" x14ac:dyDescent="0.25">
      <c r="F68" s="5" t="s">
        <v>133</v>
      </c>
    </row>
    <row r="69" spans="6:7" ht="60" x14ac:dyDescent="0.25">
      <c r="G69" s="3" t="s">
        <v>134</v>
      </c>
    </row>
    <row r="70" spans="6:7" ht="30.75" customHeight="1" x14ac:dyDescent="0.25">
      <c r="F70" s="4" t="s">
        <v>135</v>
      </c>
      <c r="G70" s="4"/>
    </row>
    <row r="71" spans="6:7" ht="60" x14ac:dyDescent="0.25">
      <c r="G71" s="2" t="s">
        <v>140</v>
      </c>
    </row>
    <row r="72" spans="6:7" ht="31.5" customHeight="1" x14ac:dyDescent="0.25">
      <c r="F72" s="4" t="s">
        <v>136</v>
      </c>
      <c r="G72" s="4"/>
    </row>
    <row r="73" spans="6:7" ht="60" x14ac:dyDescent="0.25">
      <c r="G73" s="2" t="s">
        <v>137</v>
      </c>
    </row>
    <row r="75" spans="6:7" ht="30" customHeight="1" x14ac:dyDescent="0.25">
      <c r="F75" s="6" t="s">
        <v>141</v>
      </c>
      <c r="G75" s="6"/>
    </row>
    <row r="76" spans="6:7" ht="60" x14ac:dyDescent="0.25">
      <c r="G76" s="2" t="s">
        <v>142</v>
      </c>
    </row>
    <row r="77" spans="6:7" x14ac:dyDescent="0.25">
      <c r="F77" s="4" t="s">
        <v>143</v>
      </c>
      <c r="G77" s="4"/>
    </row>
    <row r="78" spans="6:7" ht="75" x14ac:dyDescent="0.25">
      <c r="G78" s="2" t="s">
        <v>144</v>
      </c>
    </row>
    <row r="79" spans="6:7" ht="30.75" customHeight="1" x14ac:dyDescent="0.25">
      <c r="F79" s="4" t="s">
        <v>145</v>
      </c>
      <c r="G79" s="4"/>
    </row>
    <row r="80" spans="6:7" ht="123.75" customHeight="1" x14ac:dyDescent="0.25">
      <c r="G80" s="3" t="s">
        <v>152</v>
      </c>
    </row>
    <row r="81" spans="6:9" x14ac:dyDescent="0.25">
      <c r="F81" s="5" t="s">
        <v>146</v>
      </c>
    </row>
    <row r="82" spans="6:9" ht="60" x14ac:dyDescent="0.25">
      <c r="G82" s="2" t="s">
        <v>147</v>
      </c>
    </row>
    <row r="83" spans="6:9" x14ac:dyDescent="0.25">
      <c r="F83" s="5" t="s">
        <v>148</v>
      </c>
    </row>
    <row r="84" spans="6:9" ht="60" x14ac:dyDescent="0.25">
      <c r="G84" s="2" t="s">
        <v>149</v>
      </c>
    </row>
    <row r="85" spans="6:9" x14ac:dyDescent="0.25">
      <c r="F85" s="5" t="s">
        <v>150</v>
      </c>
    </row>
    <row r="86" spans="6:9" ht="64.5" customHeight="1" x14ac:dyDescent="0.25">
      <c r="G86" s="3" t="s">
        <v>151</v>
      </c>
    </row>
    <row r="87" spans="6:9" x14ac:dyDescent="0.25">
      <c r="F87" s="5" t="s">
        <v>153</v>
      </c>
    </row>
    <row r="88" spans="6:9" ht="60" x14ac:dyDescent="0.25">
      <c r="G88" s="3" t="s">
        <v>154</v>
      </c>
    </row>
    <row r="89" spans="6:9" x14ac:dyDescent="0.25">
      <c r="F89" s="5" t="s">
        <v>155</v>
      </c>
    </row>
    <row r="90" spans="6:9" ht="60" x14ac:dyDescent="0.25">
      <c r="G90" s="3" t="s">
        <v>156</v>
      </c>
    </row>
    <row r="93" spans="6:9" ht="17.25" x14ac:dyDescent="0.25">
      <c r="I93" s="8" t="s">
        <v>193</v>
      </c>
    </row>
    <row r="94" spans="6:9" ht="18" thickBot="1" x14ac:dyDescent="0.3">
      <c r="F94" s="11" t="s">
        <v>157</v>
      </c>
      <c r="I94" s="12" t="s">
        <v>194</v>
      </c>
    </row>
    <row r="95" spans="6:9" ht="17.25" x14ac:dyDescent="0.25">
      <c r="G95" s="7"/>
      <c r="I95" s="8" t="s">
        <v>195</v>
      </c>
    </row>
    <row r="96" spans="6:9" ht="17.25" x14ac:dyDescent="0.25">
      <c r="G96" s="8" t="s">
        <v>158</v>
      </c>
      <c r="I96" s="8" t="s">
        <v>196</v>
      </c>
    </row>
    <row r="97" spans="6:9" x14ac:dyDescent="0.25">
      <c r="G97" s="9"/>
      <c r="I97" s="7"/>
    </row>
    <row r="98" spans="6:9" ht="17.25" x14ac:dyDescent="0.25">
      <c r="G98" s="10" t="s">
        <v>159</v>
      </c>
      <c r="I98" s="13" t="s">
        <v>197</v>
      </c>
    </row>
    <row r="99" spans="6:9" ht="17.25" x14ac:dyDescent="0.25">
      <c r="G99" s="10" t="s">
        <v>160</v>
      </c>
      <c r="I99" s="7"/>
    </row>
    <row r="100" spans="6:9" ht="18" thickBot="1" x14ac:dyDescent="0.3">
      <c r="G100" s="10" t="s">
        <v>161</v>
      </c>
      <c r="I100" s="8" t="s">
        <v>157</v>
      </c>
    </row>
    <row r="101" spans="6:9" ht="18" thickBot="1" x14ac:dyDescent="0.3">
      <c r="G101" s="10" t="s">
        <v>162</v>
      </c>
      <c r="I101" s="14"/>
    </row>
    <row r="102" spans="6:9" ht="18" thickBot="1" x14ac:dyDescent="0.3">
      <c r="I102" s="8" t="s">
        <v>198</v>
      </c>
    </row>
    <row r="103" spans="6:9" ht="15.75" thickBot="1" x14ac:dyDescent="0.3">
      <c r="F103" s="5" t="s">
        <v>163</v>
      </c>
      <c r="I103" s="14"/>
    </row>
    <row r="104" spans="6:9" ht="17.25" x14ac:dyDescent="0.25">
      <c r="G104" s="8" t="s">
        <v>158</v>
      </c>
      <c r="I104" s="8" t="s">
        <v>159</v>
      </c>
    </row>
    <row r="105" spans="6:9" x14ac:dyDescent="0.25">
      <c r="G105" s="9"/>
      <c r="I105" s="7"/>
    </row>
    <row r="106" spans="6:9" ht="18" thickBot="1" x14ac:dyDescent="0.3">
      <c r="G106" s="10" t="s">
        <v>164</v>
      </c>
      <c r="I106" s="8" t="s">
        <v>160</v>
      </c>
    </row>
    <row r="107" spans="6:9" ht="18" thickBot="1" x14ac:dyDescent="0.3">
      <c r="G107" s="10" t="s">
        <v>165</v>
      </c>
      <c r="I107" s="15"/>
    </row>
    <row r="108" spans="6:9" ht="18" thickBot="1" x14ac:dyDescent="0.3">
      <c r="G108" s="10" t="s">
        <v>166</v>
      </c>
      <c r="I108" s="8" t="s">
        <v>199</v>
      </c>
    </row>
    <row r="109" spans="6:9" ht="18" thickBot="1" x14ac:dyDescent="0.3">
      <c r="G109" s="10" t="s">
        <v>167</v>
      </c>
      <c r="I109" s="15"/>
    </row>
    <row r="110" spans="6:9" ht="17.25" x14ac:dyDescent="0.25">
      <c r="I110" s="8" t="s">
        <v>161</v>
      </c>
    </row>
    <row r="111" spans="6:9" x14ac:dyDescent="0.25">
      <c r="F111" s="5" t="s">
        <v>168</v>
      </c>
      <c r="I111" s="7"/>
    </row>
    <row r="112" spans="6:9" ht="17.25" x14ac:dyDescent="0.25">
      <c r="G112" s="8" t="s">
        <v>158</v>
      </c>
      <c r="I112" s="8" t="s">
        <v>162</v>
      </c>
    </row>
    <row r="113" spans="6:9" x14ac:dyDescent="0.25">
      <c r="G113" s="9"/>
      <c r="I113" s="7"/>
    </row>
    <row r="114" spans="6:9" ht="17.25" x14ac:dyDescent="0.25">
      <c r="G114" s="10" t="s">
        <v>169</v>
      </c>
      <c r="I114" s="13" t="s">
        <v>200</v>
      </c>
    </row>
    <row r="115" spans="6:9" ht="17.25" x14ac:dyDescent="0.25">
      <c r="G115" s="10" t="s">
        <v>170</v>
      </c>
      <c r="I115" s="7"/>
    </row>
    <row r="116" spans="6:9" ht="18" thickBot="1" x14ac:dyDescent="0.3">
      <c r="G116" s="10" t="s">
        <v>171</v>
      </c>
      <c r="I116" s="8" t="s">
        <v>163</v>
      </c>
    </row>
    <row r="117" spans="6:9" ht="18" thickBot="1" x14ac:dyDescent="0.3">
      <c r="G117" s="10" t="s">
        <v>172</v>
      </c>
      <c r="I117" s="14"/>
    </row>
    <row r="118" spans="6:9" ht="18" thickBot="1" x14ac:dyDescent="0.3">
      <c r="F118" s="5" t="s">
        <v>173</v>
      </c>
      <c r="I118" s="8" t="s">
        <v>198</v>
      </c>
    </row>
    <row r="119" spans="6:9" ht="18" thickBot="1" x14ac:dyDescent="0.3">
      <c r="G119" s="8" t="s">
        <v>158</v>
      </c>
      <c r="I119" s="14"/>
    </row>
    <row r="120" spans="6:9" ht="18" thickBot="1" x14ac:dyDescent="0.3">
      <c r="G120" s="9"/>
      <c r="I120" s="8" t="s">
        <v>164</v>
      </c>
    </row>
    <row r="121" spans="6:9" ht="35.25" thickBot="1" x14ac:dyDescent="0.3">
      <c r="G121" s="10" t="s">
        <v>174</v>
      </c>
      <c r="I121" s="15"/>
    </row>
    <row r="122" spans="6:9" ht="18" thickBot="1" x14ac:dyDescent="0.3">
      <c r="G122" s="10" t="s">
        <v>175</v>
      </c>
      <c r="I122" s="8" t="s">
        <v>199</v>
      </c>
    </row>
    <row r="123" spans="6:9" ht="18" thickBot="1" x14ac:dyDescent="0.3">
      <c r="G123" s="10" t="s">
        <v>176</v>
      </c>
      <c r="I123" s="15"/>
    </row>
    <row r="124" spans="6:9" ht="17.25" x14ac:dyDescent="0.25">
      <c r="G124" s="10" t="s">
        <v>177</v>
      </c>
      <c r="I124" s="8" t="s">
        <v>165</v>
      </c>
    </row>
    <row r="125" spans="6:9" x14ac:dyDescent="0.25">
      <c r="I125" s="7"/>
    </row>
    <row r="126" spans="6:9" ht="17.25" x14ac:dyDescent="0.25">
      <c r="F126" s="5" t="s">
        <v>178</v>
      </c>
      <c r="I126" s="8" t="s">
        <v>166</v>
      </c>
    </row>
    <row r="127" spans="6:9" ht="17.25" x14ac:dyDescent="0.25">
      <c r="G127" s="8" t="s">
        <v>158</v>
      </c>
      <c r="I127" s="7"/>
    </row>
    <row r="128" spans="6:9" ht="17.25" x14ac:dyDescent="0.25">
      <c r="G128" s="9"/>
      <c r="I128" s="8" t="s">
        <v>167</v>
      </c>
    </row>
    <row r="129" spans="6:9" ht="17.25" x14ac:dyDescent="0.25">
      <c r="G129" s="10" t="s">
        <v>179</v>
      </c>
      <c r="I129" s="7"/>
    </row>
    <row r="130" spans="6:9" ht="17.25" x14ac:dyDescent="0.25">
      <c r="G130" s="10" t="s">
        <v>180</v>
      </c>
      <c r="I130" s="16" t="s">
        <v>201</v>
      </c>
    </row>
    <row r="131" spans="6:9" ht="17.25" x14ac:dyDescent="0.25">
      <c r="G131" s="10" t="s">
        <v>181</v>
      </c>
      <c r="I131" s="7"/>
    </row>
    <row r="132" spans="6:9" ht="34.5" x14ac:dyDescent="0.25">
      <c r="G132" s="10" t="s">
        <v>182</v>
      </c>
      <c r="I132" s="8" t="s">
        <v>168</v>
      </c>
    </row>
    <row r="133" spans="6:9" x14ac:dyDescent="0.25">
      <c r="I133" s="7"/>
    </row>
    <row r="134" spans="6:9" ht="18" thickBot="1" x14ac:dyDescent="0.3">
      <c r="F134" s="5" t="s">
        <v>183</v>
      </c>
      <c r="I134" s="8" t="s">
        <v>169</v>
      </c>
    </row>
    <row r="135" spans="6:9" ht="18" thickBot="1" x14ac:dyDescent="0.3">
      <c r="G135" s="8" t="s">
        <v>158</v>
      </c>
      <c r="I135" s="15"/>
    </row>
    <row r="136" spans="6:9" ht="18" thickBot="1" x14ac:dyDescent="0.3">
      <c r="G136" s="9"/>
      <c r="I136" s="8" t="s">
        <v>202</v>
      </c>
    </row>
    <row r="137" spans="6:9" ht="18" thickBot="1" x14ac:dyDescent="0.3">
      <c r="G137" s="10" t="s">
        <v>184</v>
      </c>
      <c r="I137" s="15"/>
    </row>
    <row r="138" spans="6:9" ht="17.25" x14ac:dyDescent="0.25">
      <c r="G138" s="10" t="s">
        <v>185</v>
      </c>
      <c r="I138" s="8" t="s">
        <v>170</v>
      </c>
    </row>
    <row r="139" spans="6:9" ht="17.25" x14ac:dyDescent="0.25">
      <c r="G139" s="10" t="s">
        <v>186</v>
      </c>
      <c r="I139" s="7"/>
    </row>
    <row r="140" spans="6:9" ht="17.25" x14ac:dyDescent="0.25">
      <c r="G140" s="10" t="s">
        <v>187</v>
      </c>
      <c r="I140" s="8" t="s">
        <v>171</v>
      </c>
    </row>
    <row r="141" spans="6:9" x14ac:dyDescent="0.25">
      <c r="I141" s="7"/>
    </row>
    <row r="142" spans="6:9" ht="17.25" x14ac:dyDescent="0.25">
      <c r="F142" s="5" t="s">
        <v>188</v>
      </c>
      <c r="I142" s="8" t="s">
        <v>172</v>
      </c>
    </row>
    <row r="143" spans="6:9" ht="17.25" x14ac:dyDescent="0.25">
      <c r="G143" s="8" t="s">
        <v>158</v>
      </c>
      <c r="I143" s="7"/>
    </row>
    <row r="144" spans="6:9" ht="17.25" x14ac:dyDescent="0.25">
      <c r="G144" s="9"/>
      <c r="I144" s="16" t="s">
        <v>203</v>
      </c>
    </row>
    <row r="145" spans="7:9" ht="17.25" x14ac:dyDescent="0.25">
      <c r="G145" s="10" t="s">
        <v>189</v>
      </c>
      <c r="I145" s="7"/>
    </row>
    <row r="146" spans="7:9" ht="18" thickBot="1" x14ac:dyDescent="0.3">
      <c r="G146" s="10" t="s">
        <v>190</v>
      </c>
      <c r="I146" s="8" t="s">
        <v>204</v>
      </c>
    </row>
    <row r="147" spans="7:9" ht="18" thickBot="1" x14ac:dyDescent="0.3">
      <c r="G147" s="10" t="s">
        <v>191</v>
      </c>
      <c r="I147" s="15"/>
    </row>
    <row r="148" spans="7:9" ht="18" thickBot="1" x14ac:dyDescent="0.3">
      <c r="G148" s="10" t="s">
        <v>192</v>
      </c>
      <c r="I148" s="8" t="s">
        <v>202</v>
      </c>
    </row>
    <row r="149" spans="7:9" ht="15.75" thickBot="1" x14ac:dyDescent="0.3">
      <c r="I149" s="15"/>
    </row>
    <row r="150" spans="7:9" ht="34.5" x14ac:dyDescent="0.25">
      <c r="I150" s="8" t="s">
        <v>174</v>
      </c>
    </row>
    <row r="151" spans="7:9" x14ac:dyDescent="0.25">
      <c r="I151" s="7"/>
    </row>
    <row r="152" spans="7:9" ht="17.25" x14ac:dyDescent="0.25">
      <c r="I152" s="8" t="s">
        <v>175</v>
      </c>
    </row>
    <row r="153" spans="7:9" x14ac:dyDescent="0.25">
      <c r="I153" s="7"/>
    </row>
    <row r="154" spans="7:9" ht="17.25" x14ac:dyDescent="0.25">
      <c r="I154" s="8" t="s">
        <v>176</v>
      </c>
    </row>
    <row r="155" spans="7:9" x14ac:dyDescent="0.25">
      <c r="I155" s="7"/>
    </row>
    <row r="156" spans="7:9" ht="17.25" x14ac:dyDescent="0.25">
      <c r="I156" s="8" t="s">
        <v>177</v>
      </c>
    </row>
    <row r="157" spans="7:9" x14ac:dyDescent="0.25">
      <c r="I157" s="7"/>
    </row>
    <row r="158" spans="7:9" ht="17.25" x14ac:dyDescent="0.25">
      <c r="I158" s="16" t="s">
        <v>205</v>
      </c>
    </row>
    <row r="159" spans="7:9" x14ac:dyDescent="0.25">
      <c r="I159" s="7"/>
    </row>
    <row r="160" spans="7:9" ht="17.25" x14ac:dyDescent="0.25">
      <c r="I160" s="8" t="s">
        <v>178</v>
      </c>
    </row>
    <row r="161" spans="9:9" x14ac:dyDescent="0.25">
      <c r="I161" s="7"/>
    </row>
    <row r="162" spans="9:9" ht="17.25" x14ac:dyDescent="0.25">
      <c r="I162" s="8" t="s">
        <v>179</v>
      </c>
    </row>
    <row r="163" spans="9:9" x14ac:dyDescent="0.25">
      <c r="I163" s="7"/>
    </row>
    <row r="164" spans="9:9" ht="17.25" x14ac:dyDescent="0.25">
      <c r="I164" s="8" t="s">
        <v>180</v>
      </c>
    </row>
    <row r="165" spans="9:9" x14ac:dyDescent="0.25">
      <c r="I165" s="7"/>
    </row>
    <row r="166" spans="9:9" ht="18" thickBot="1" x14ac:dyDescent="0.3">
      <c r="I166" s="8" t="s">
        <v>181</v>
      </c>
    </row>
    <row r="167" spans="9:9" ht="15.75" thickBot="1" x14ac:dyDescent="0.3">
      <c r="I167" s="15"/>
    </row>
    <row r="168" spans="9:9" ht="18" thickBot="1" x14ac:dyDescent="0.3">
      <c r="I168" s="8" t="s">
        <v>202</v>
      </c>
    </row>
    <row r="169" spans="9:9" ht="15.75" thickBot="1" x14ac:dyDescent="0.3">
      <c r="I169" s="15"/>
    </row>
    <row r="170" spans="9:9" ht="17.25" x14ac:dyDescent="0.25">
      <c r="I170" s="8" t="s">
        <v>182</v>
      </c>
    </row>
    <row r="171" spans="9:9" x14ac:dyDescent="0.25">
      <c r="I171" s="7"/>
    </row>
    <row r="172" spans="9:9" ht="17.25" x14ac:dyDescent="0.25">
      <c r="I172" s="16" t="s">
        <v>206</v>
      </c>
    </row>
    <row r="173" spans="9:9" x14ac:dyDescent="0.25">
      <c r="I173" s="7"/>
    </row>
    <row r="174" spans="9:9" ht="18" thickBot="1" x14ac:dyDescent="0.3">
      <c r="I174" s="8" t="s">
        <v>183</v>
      </c>
    </row>
    <row r="175" spans="9:9" ht="15.75" thickBot="1" x14ac:dyDescent="0.3">
      <c r="I175" s="15"/>
    </row>
    <row r="176" spans="9:9" ht="18" thickBot="1" x14ac:dyDescent="0.3">
      <c r="I176" s="8" t="s">
        <v>202</v>
      </c>
    </row>
    <row r="177" spans="9:9" ht="15.75" thickBot="1" x14ac:dyDescent="0.3">
      <c r="I177" s="15"/>
    </row>
    <row r="178" spans="9:9" ht="17.25" x14ac:dyDescent="0.25">
      <c r="I178" s="8" t="s">
        <v>184</v>
      </c>
    </row>
    <row r="179" spans="9:9" x14ac:dyDescent="0.25">
      <c r="I179" s="7"/>
    </row>
    <row r="180" spans="9:9" ht="17.25" x14ac:dyDescent="0.25">
      <c r="I180" s="8" t="s">
        <v>185</v>
      </c>
    </row>
    <row r="181" spans="9:9" x14ac:dyDescent="0.25">
      <c r="I181" s="7"/>
    </row>
    <row r="182" spans="9:9" ht="17.25" x14ac:dyDescent="0.25">
      <c r="I182" s="8" t="s">
        <v>186</v>
      </c>
    </row>
    <row r="183" spans="9:9" x14ac:dyDescent="0.25">
      <c r="I183" s="7"/>
    </row>
    <row r="184" spans="9:9" ht="17.25" x14ac:dyDescent="0.25">
      <c r="I184" s="8" t="s">
        <v>187</v>
      </c>
    </row>
    <row r="185" spans="9:9" x14ac:dyDescent="0.25">
      <c r="I185" s="7"/>
    </row>
    <row r="186" spans="9:9" ht="17.25" x14ac:dyDescent="0.25">
      <c r="I186" s="16" t="s">
        <v>207</v>
      </c>
    </row>
    <row r="187" spans="9:9" x14ac:dyDescent="0.25">
      <c r="I187" s="7"/>
    </row>
    <row r="188" spans="9:9" ht="18" thickBot="1" x14ac:dyDescent="0.3">
      <c r="I188" s="8" t="s">
        <v>188</v>
      </c>
    </row>
    <row r="189" spans="9:9" ht="15.75" thickBot="1" x14ac:dyDescent="0.3">
      <c r="I189" s="15"/>
    </row>
    <row r="190" spans="9:9" ht="18" thickBot="1" x14ac:dyDescent="0.3">
      <c r="I190" s="8" t="s">
        <v>202</v>
      </c>
    </row>
    <row r="191" spans="9:9" ht="15.75" thickBot="1" x14ac:dyDescent="0.3">
      <c r="I191" s="15"/>
    </row>
    <row r="192" spans="9:9" ht="17.25" x14ac:dyDescent="0.25">
      <c r="I192" s="8" t="s">
        <v>189</v>
      </c>
    </row>
    <row r="193" spans="9:9" x14ac:dyDescent="0.25">
      <c r="I193" s="7"/>
    </row>
    <row r="194" spans="9:9" ht="17.25" x14ac:dyDescent="0.25">
      <c r="I194" s="8" t="s">
        <v>190</v>
      </c>
    </row>
    <row r="195" spans="9:9" x14ac:dyDescent="0.25">
      <c r="I195" s="7"/>
    </row>
    <row r="196" spans="9:9" ht="17.25" x14ac:dyDescent="0.25">
      <c r="I196" s="8" t="s">
        <v>191</v>
      </c>
    </row>
    <row r="197" spans="9:9" x14ac:dyDescent="0.25">
      <c r="I197" s="7"/>
    </row>
    <row r="198" spans="9:9" ht="17.25" x14ac:dyDescent="0.25">
      <c r="I198" s="8" t="s">
        <v>192</v>
      </c>
    </row>
  </sheetData>
  <autoFilter ref="A2:G59" xr:uid="{39C94071-4E68-48D6-B9B0-2D652367C7D6}">
    <filterColumn colId="6">
      <customFilters>
        <customFilter operator="notEqual" val=" "/>
      </customFilters>
    </filterColumn>
  </autoFilter>
  <mergeCells count="5">
    <mergeCell ref="F70:G70"/>
    <mergeCell ref="F72:G72"/>
    <mergeCell ref="F75:G75"/>
    <mergeCell ref="F77:G77"/>
    <mergeCell ref="F79:G79"/>
  </mergeCells>
  <pageMargins left="0.7" right="0.7" top="0.75" bottom="0.75" header="0.3" footer="0.3"/>
  <pageSetup orientation="portrait" r:id="rId1"/>
  <drawing r:id="rId2"/>
  <legacyDrawing r:id="rId3"/>
  <controls>
    <mc:AlternateContent xmlns:mc="http://schemas.openxmlformats.org/markup-compatibility/2006">
      <mc:Choice Requires="x14">
        <control shapeId="1033" r:id="rId4" name="Control 9">
          <controlPr defaultSize="0" r:id="rId5">
            <anchor moveWithCells="1">
              <from>
                <xdr:col>8</xdr:col>
                <xdr:colOff>0</xdr:colOff>
                <xdr:row>95</xdr:row>
                <xdr:rowOff>0</xdr:rowOff>
              </from>
              <to>
                <xdr:col>8</xdr:col>
                <xdr:colOff>257175</xdr:colOff>
                <xdr:row>96</xdr:row>
                <xdr:rowOff>76200</xdr:rowOff>
              </to>
            </anchor>
          </controlPr>
        </control>
      </mc:Choice>
      <mc:Fallback>
        <control shapeId="1033" r:id="rId4" name="Control 9"/>
      </mc:Fallback>
    </mc:AlternateContent>
    <mc:AlternateContent xmlns:mc="http://schemas.openxmlformats.org/markup-compatibility/2006">
      <mc:Choice Requires="x14">
        <control shapeId="1032" r:id="rId6" name="Control 8">
          <controlPr defaultSize="0" r:id="rId5">
            <anchor moveWithCells="1">
              <from>
                <xdr:col>8</xdr:col>
                <xdr:colOff>0</xdr:colOff>
                <xdr:row>94</xdr:row>
                <xdr:rowOff>0</xdr:rowOff>
              </from>
              <to>
                <xdr:col>8</xdr:col>
                <xdr:colOff>257175</xdr:colOff>
                <xdr:row>95</xdr:row>
                <xdr:rowOff>76200</xdr:rowOff>
              </to>
            </anchor>
          </controlPr>
        </control>
      </mc:Choice>
      <mc:Fallback>
        <control shapeId="1032" r:id="rId6" name="Control 8"/>
      </mc:Fallback>
    </mc:AlternateContent>
  </control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Essentials of Team Collaboratio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Go, Zachary See</dc:creator>
  <cp:lastModifiedBy>Go, Zachary See</cp:lastModifiedBy>
  <dcterms:created xsi:type="dcterms:W3CDTF">2023-04-12T08:06:13Z</dcterms:created>
  <dcterms:modified xsi:type="dcterms:W3CDTF">2023-04-14T12:32:58Z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a7295cc1-d279-42ac-ab4d-3b0f4fece050_Enabled">
    <vt:lpwstr>true</vt:lpwstr>
  </property>
  <property fmtid="{D5CDD505-2E9C-101B-9397-08002B2CF9AE}" pid="3" name="MSIP_Label_a7295cc1-d279-42ac-ab4d-3b0f4fece050_SetDate">
    <vt:lpwstr>2023-04-13T01:09:49Z</vt:lpwstr>
  </property>
  <property fmtid="{D5CDD505-2E9C-101B-9397-08002B2CF9AE}" pid="4" name="MSIP_Label_a7295cc1-d279-42ac-ab4d-3b0f4fece050_Method">
    <vt:lpwstr>Standard</vt:lpwstr>
  </property>
  <property fmtid="{D5CDD505-2E9C-101B-9397-08002B2CF9AE}" pid="5" name="MSIP_Label_a7295cc1-d279-42ac-ab4d-3b0f4fece050_Name">
    <vt:lpwstr>FUJITSU-RESTRICTED​</vt:lpwstr>
  </property>
  <property fmtid="{D5CDD505-2E9C-101B-9397-08002B2CF9AE}" pid="6" name="MSIP_Label_a7295cc1-d279-42ac-ab4d-3b0f4fece050_SiteId">
    <vt:lpwstr>a19f121d-81e1-4858-a9d8-736e267fd4c7</vt:lpwstr>
  </property>
  <property fmtid="{D5CDD505-2E9C-101B-9397-08002B2CF9AE}" pid="7" name="MSIP_Label_a7295cc1-d279-42ac-ab4d-3b0f4fece050_ActionId">
    <vt:lpwstr>02fafb99-2b73-48e3-b164-df7a591d5424</vt:lpwstr>
  </property>
  <property fmtid="{D5CDD505-2E9C-101B-9397-08002B2CF9AE}" pid="8" name="MSIP_Label_a7295cc1-d279-42ac-ab4d-3b0f4fece050_ContentBits">
    <vt:lpwstr>0</vt:lpwstr>
  </property>
</Properties>
</file>